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https://inlint-my.sharepoint.com/personal/vania_vilasboas_inl_int/Documents/a_Nanosafety/b_Nanosafety lab/GLP/b_PB validation/final/results/"/>
    </mc:Choice>
  </mc:AlternateContent>
  <xr:revisionPtr revIDLastSave="8" documentId="13_ncr:1_{00F7A2A0-CAAF-E346-A2F6-B03E836AE829}" xr6:coauthVersionLast="47" xr6:coauthVersionMax="47" xr10:uidLastSave="{1930748B-357A-7043-9F1F-B480D688B4FF}"/>
  <bookViews>
    <workbookView xWindow="6580" yWindow="500" windowWidth="21920" windowHeight="15560" activeTab="1" xr2:uid="{00000000-000D-0000-FFFF-FFFF00000000}"/>
  </bookViews>
  <sheets>
    <sheet name="Plate 1 - Sheet1" sheetId="1" r:id="rId1"/>
    <sheet name="FLUO" sheetId="2" r:id="rId2"/>
    <sheet name="ABS" sheetId="3" r:id="rId3"/>
    <sheet name="inter-run" sheetId="4" r:id="rId4"/>
  </sheets>
  <definedNames>
    <definedName name="MethodPointer1">-403898688</definedName>
    <definedName name="MethodPointer2">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4" l="1"/>
  <c r="D17" i="4"/>
  <c r="J16" i="4"/>
  <c r="J17" i="4" s="1"/>
  <c r="I16" i="4"/>
  <c r="I17" i="4" s="1"/>
  <c r="H16" i="4"/>
  <c r="H17" i="4" s="1"/>
  <c r="G16" i="4"/>
  <c r="G17" i="4" s="1"/>
  <c r="F16" i="4"/>
  <c r="F17" i="4" s="1"/>
  <c r="E16" i="4"/>
  <c r="D16" i="4"/>
  <c r="C16" i="4"/>
  <c r="C17" i="4" s="1"/>
  <c r="B16" i="4"/>
  <c r="B17" i="4" s="1"/>
  <c r="J15" i="4"/>
  <c r="I15" i="4"/>
  <c r="H15" i="4"/>
  <c r="G15" i="4"/>
  <c r="F15" i="4"/>
  <c r="E15" i="4"/>
  <c r="D15" i="4"/>
  <c r="C15" i="4"/>
  <c r="B15" i="4"/>
  <c r="I12" i="4"/>
  <c r="H12" i="4"/>
  <c r="G12" i="4"/>
  <c r="F12" i="4" s="1"/>
  <c r="E12" i="4" s="1"/>
  <c r="D12" i="4" s="1"/>
  <c r="C12" i="4" s="1"/>
  <c r="G8" i="4"/>
  <c r="J7" i="4"/>
  <c r="J8" i="4" s="1"/>
  <c r="I7" i="4"/>
  <c r="I8" i="4" s="1"/>
  <c r="H7" i="4"/>
  <c r="H8" i="4" s="1"/>
  <c r="G7" i="4"/>
  <c r="F7" i="4"/>
  <c r="F8" i="4" s="1"/>
  <c r="E7" i="4"/>
  <c r="E8" i="4" s="1"/>
  <c r="D7" i="4"/>
  <c r="D8" i="4" s="1"/>
  <c r="C7" i="4"/>
  <c r="C8" i="4" s="1"/>
  <c r="B7" i="4"/>
  <c r="B8" i="4" s="1"/>
  <c r="J6" i="4"/>
  <c r="I6" i="4"/>
  <c r="H6" i="4"/>
  <c r="G6" i="4"/>
  <c r="F6" i="4"/>
  <c r="E6" i="4"/>
  <c r="D6" i="4"/>
  <c r="C6" i="4"/>
  <c r="B6" i="4"/>
  <c r="I3" i="4"/>
  <c r="H3" i="4" s="1"/>
  <c r="G3" i="4" s="1"/>
  <c r="F3" i="4" s="1"/>
  <c r="E3" i="4" s="1"/>
  <c r="D3" i="4" s="1"/>
  <c r="C3" i="4" s="1"/>
  <c r="L17" i="3"/>
  <c r="D17" i="3"/>
  <c r="G16" i="3"/>
  <c r="L15" i="3"/>
  <c r="L16" i="3" s="1"/>
  <c r="K15" i="3"/>
  <c r="J15" i="3"/>
  <c r="I15" i="3"/>
  <c r="H15" i="3"/>
  <c r="G15" i="3"/>
  <c r="F15" i="3"/>
  <c r="E15" i="3"/>
  <c r="D15" i="3"/>
  <c r="C15" i="3"/>
  <c r="B15" i="3"/>
  <c r="L14" i="3"/>
  <c r="K14" i="3"/>
  <c r="J14" i="3"/>
  <c r="I14" i="3"/>
  <c r="H14" i="3"/>
  <c r="G14" i="3"/>
  <c r="G17" i="3" s="1"/>
  <c r="G18" i="3" s="1"/>
  <c r="F14" i="3"/>
  <c r="F17" i="3" s="1"/>
  <c r="E14" i="3"/>
  <c r="E16" i="3" s="1"/>
  <c r="D14" i="3"/>
  <c r="C14" i="3"/>
  <c r="B14" i="3"/>
  <c r="L13" i="3"/>
  <c r="K13" i="3"/>
  <c r="K17" i="3" s="1"/>
  <c r="J13" i="3"/>
  <c r="J17" i="3" s="1"/>
  <c r="I13" i="3"/>
  <c r="I17" i="3" s="1"/>
  <c r="H13" i="3"/>
  <c r="H16" i="3" s="1"/>
  <c r="G13" i="3"/>
  <c r="F13" i="3"/>
  <c r="E13" i="3"/>
  <c r="D13" i="3"/>
  <c r="C13" i="3"/>
  <c r="C17" i="3" s="1"/>
  <c r="B13" i="3"/>
  <c r="B17" i="3" s="1"/>
  <c r="J12" i="3"/>
  <c r="I12" i="3"/>
  <c r="H12" i="3" s="1"/>
  <c r="G12" i="3" s="1"/>
  <c r="F12" i="3" s="1"/>
  <c r="E12" i="3" s="1"/>
  <c r="D12" i="3" s="1"/>
  <c r="J7" i="3"/>
  <c r="I7" i="3"/>
  <c r="H7" i="3"/>
  <c r="G7" i="3" s="1"/>
  <c r="F7" i="3" s="1"/>
  <c r="E7" i="3" s="1"/>
  <c r="D7" i="3" s="1"/>
  <c r="J2" i="3"/>
  <c r="I2" i="3"/>
  <c r="H2" i="3"/>
  <c r="G2" i="3"/>
  <c r="F2" i="3" s="1"/>
  <c r="E2" i="3" s="1"/>
  <c r="D2" i="3" s="1"/>
  <c r="L7" i="2"/>
  <c r="L8" i="2" s="1"/>
  <c r="K7" i="2"/>
  <c r="K8" i="2" s="1"/>
  <c r="J7" i="2"/>
  <c r="J8" i="2" s="1"/>
  <c r="I7" i="2"/>
  <c r="I8" i="2" s="1"/>
  <c r="H7" i="2"/>
  <c r="H8" i="2" s="1"/>
  <c r="G7" i="2"/>
  <c r="G8" i="2" s="1"/>
  <c r="F7" i="2"/>
  <c r="F8" i="2" s="1"/>
  <c r="E7" i="2"/>
  <c r="E8" i="2" s="1"/>
  <c r="D7" i="2"/>
  <c r="D8" i="2" s="1"/>
  <c r="C7" i="2"/>
  <c r="C8" i="2" s="1"/>
  <c r="B7" i="2"/>
  <c r="B8" i="2" s="1"/>
  <c r="L6" i="2"/>
  <c r="K6" i="2"/>
  <c r="J6" i="2"/>
  <c r="I6" i="2"/>
  <c r="H6" i="2"/>
  <c r="G6" i="2"/>
  <c r="F6" i="2"/>
  <c r="E6" i="2"/>
  <c r="D6" i="2"/>
  <c r="C6" i="2"/>
  <c r="B6" i="2"/>
  <c r="J12" i="2" s="1"/>
  <c r="J2" i="2"/>
  <c r="I2" i="2" s="1"/>
  <c r="H2" i="2" s="1"/>
  <c r="G2" i="2" s="1"/>
  <c r="F2" i="2" s="1"/>
  <c r="E2" i="2" s="1"/>
  <c r="D2" i="2" s="1"/>
  <c r="K17" i="4" l="1"/>
  <c r="K8" i="4"/>
  <c r="D21" i="3"/>
  <c r="B18" i="3"/>
  <c r="J18" i="3"/>
  <c r="C18" i="3"/>
  <c r="D18" i="3"/>
  <c r="L21" i="3"/>
  <c r="J22" i="3"/>
  <c r="K18" i="3"/>
  <c r="H21" i="3"/>
  <c r="D20" i="3"/>
  <c r="J21" i="3"/>
  <c r="G22" i="3"/>
  <c r="L18" i="3"/>
  <c r="E17" i="3"/>
  <c r="E18" i="3" s="1"/>
  <c r="F21" i="3"/>
  <c r="I20" i="3"/>
  <c r="B16" i="3"/>
  <c r="C16" i="3"/>
  <c r="K21" i="3" s="1"/>
  <c r="K16" i="3"/>
  <c r="H17" i="3"/>
  <c r="H18" i="3" s="1"/>
  <c r="C20" i="3"/>
  <c r="K20" i="3"/>
  <c r="I16" i="3"/>
  <c r="I18" i="3" s="1"/>
  <c r="G21" i="3"/>
  <c r="J16" i="3"/>
  <c r="J20" i="3"/>
  <c r="D16" i="3"/>
  <c r="E21" i="3"/>
  <c r="H20" i="3"/>
  <c r="F16" i="3"/>
  <c r="F18" i="3" s="1"/>
  <c r="G10" i="2"/>
  <c r="E11" i="2"/>
  <c r="C12" i="2"/>
  <c r="K12" i="2"/>
  <c r="H10" i="2"/>
  <c r="F11" i="2"/>
  <c r="D12" i="2"/>
  <c r="L12" i="2"/>
  <c r="I10" i="2"/>
  <c r="G11" i="2"/>
  <c r="E12" i="2"/>
  <c r="J10" i="2"/>
  <c r="H11" i="2"/>
  <c r="F12" i="2"/>
  <c r="C10" i="2"/>
  <c r="K10" i="2"/>
  <c r="I11" i="2"/>
  <c r="G12" i="2"/>
  <c r="D10" i="2"/>
  <c r="L10" i="2"/>
  <c r="J11" i="2"/>
  <c r="H12" i="2"/>
  <c r="E10" i="2"/>
  <c r="C11" i="2"/>
  <c r="K11" i="2"/>
  <c r="I12" i="2"/>
  <c r="F10" i="2"/>
  <c r="D11" i="2"/>
  <c r="L11" i="2"/>
  <c r="D24" i="3" l="1"/>
  <c r="D23" i="3"/>
  <c r="K24" i="3"/>
  <c r="K23" i="3"/>
  <c r="J23" i="3"/>
  <c r="J24" i="3"/>
  <c r="J25" i="3" s="1"/>
  <c r="I21" i="3"/>
  <c r="I24" i="3" s="1"/>
  <c r="H22" i="3"/>
  <c r="H23" i="3" s="1"/>
  <c r="E20" i="3"/>
  <c r="D22" i="3"/>
  <c r="I22" i="3"/>
  <c r="C22" i="3"/>
  <c r="G20" i="3"/>
  <c r="E22" i="3"/>
  <c r="L22" i="3"/>
  <c r="L24" i="3" s="1"/>
  <c r="F22" i="3"/>
  <c r="K22" i="3"/>
  <c r="L20" i="3"/>
  <c r="C21" i="3"/>
  <c r="C23" i="3" s="1"/>
  <c r="F20" i="3"/>
  <c r="C14" i="2"/>
  <c r="C13" i="2"/>
  <c r="F14" i="2"/>
  <c r="F13" i="2"/>
  <c r="K14" i="2"/>
  <c r="K13" i="2"/>
  <c r="E14" i="2"/>
  <c r="E13" i="2"/>
  <c r="L14" i="2"/>
  <c r="L13" i="2"/>
  <c r="H13" i="2"/>
  <c r="H14" i="2"/>
  <c r="H15" i="2" s="1"/>
  <c r="J14" i="2"/>
  <c r="J13" i="2"/>
  <c r="D14" i="2"/>
  <c r="D13" i="2"/>
  <c r="I14" i="2"/>
  <c r="I15" i="2" s="1"/>
  <c r="I13" i="2"/>
  <c r="G13" i="2"/>
  <c r="G14" i="2"/>
  <c r="G15" i="2" s="1"/>
  <c r="H24" i="3" l="1"/>
  <c r="H25" i="3" s="1"/>
  <c r="G23" i="3"/>
  <c r="G24" i="3"/>
  <c r="G25" i="3" s="1"/>
  <c r="K25" i="3"/>
  <c r="F24" i="3"/>
  <c r="F23" i="3"/>
  <c r="L23" i="3"/>
  <c r="L25" i="3" s="1"/>
  <c r="D25" i="3"/>
  <c r="C24" i="3"/>
  <c r="C25" i="3" s="1"/>
  <c r="I23" i="3"/>
  <c r="I25" i="3" s="1"/>
  <c r="E24" i="3"/>
  <c r="E23" i="3"/>
  <c r="K15" i="2"/>
  <c r="F15" i="2"/>
  <c r="D15" i="2"/>
  <c r="J15" i="2"/>
  <c r="E15" i="2"/>
  <c r="L15" i="2"/>
  <c r="C15" i="2"/>
  <c r="E25" i="3" l="1"/>
  <c r="F25" i="3"/>
</calcChain>
</file>

<file path=xl/sharedStrings.xml><?xml version="1.0" encoding="utf-8"?>
<sst xmlns="http://schemas.openxmlformats.org/spreadsheetml/2006/main" count="174" uniqueCount="66">
  <si>
    <t>Software Version</t>
  </si>
  <si>
    <t>3.14.03</t>
  </si>
  <si>
    <t>Experiment File Path:</t>
  </si>
  <si>
    <t>\\inl-fps01\Data\Nanosafety\VVB\SynergyH1\PB val\20230809_PBvalidation_run2.xpt</t>
  </si>
  <si>
    <t>Protocol File Path:</t>
  </si>
  <si>
    <t>DB:\Protocols\PrestoBlue fluo abs.prt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</si>
  <si>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</si>
  <si>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</si>
  <si>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</si>
  <si>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</si>
  <si>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</si>
  <si>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</si>
  <si>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</si>
  <si>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</si>
  <si>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</si>
  <si>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</si>
  <si>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</si>
  <si>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</si>
  <si>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</si>
  <si>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</si>
  <si>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</si>
  <si>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</si>
  <si>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570, 600</t>
  </si>
  <si>
    <t>Pathlength Correction: 570 / 600</t>
  </si>
  <si>
    <t xml:space="preserve">    Absorbance at 1 cm: 0.18</t>
  </si>
  <si>
    <t>Read Speed: Normal,  Delay: 100 msec,  Measurements/Data Point: 8</t>
  </si>
  <si>
    <t>Fluorescence Endpoint</t>
  </si>
  <si>
    <t>Filter Set 1</t>
  </si>
  <si>
    <t xml:space="preserve">    Excitation: 560,  Emission: 590</t>
  </si>
  <si>
    <t xml:space="preserve">    Optics: Top,  Gain: 70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</si>
  <si>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</si>
  <si>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</si>
  <si>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</si>
  <si>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</si>
  <si>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</si>
  <si>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</si>
  <si>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Read 1:570 [Test]</t>
  </si>
  <si>
    <t>Read 1:600 [Ref]</t>
  </si>
  <si>
    <t>Read 1:Pathlength</t>
  </si>
  <si>
    <t>Read 1:570</t>
  </si>
  <si>
    <t>Read 1:600</t>
  </si>
  <si>
    <t>Read 2:560,590</t>
  </si>
  <si>
    <t>Corrected [Read 1:570]</t>
  </si>
  <si>
    <t>Corrected [Read 1:600]</t>
  </si>
  <si>
    <t>B</t>
  </si>
  <si>
    <t>C</t>
  </si>
  <si>
    <t>D</t>
  </si>
  <si>
    <t>E</t>
  </si>
  <si>
    <t>F</t>
  </si>
  <si>
    <t>G</t>
  </si>
  <si>
    <t>H</t>
  </si>
  <si>
    <t>Staurosporine concentration nM</t>
  </si>
  <si>
    <t>blank</t>
  </si>
  <si>
    <t>TX100_0.1%</t>
  </si>
  <si>
    <t>average</t>
  </si>
  <si>
    <t>SD</t>
  </si>
  <si>
    <t>CV</t>
  </si>
  <si>
    <t>%CTR</t>
  </si>
  <si>
    <t>*tritonX-100 pipetted twice into the same well - result discarded</t>
  </si>
  <si>
    <t>SUB 570-600</t>
  </si>
  <si>
    <t>stdev</t>
  </si>
  <si>
    <t>FLUO</t>
  </si>
  <si>
    <t>run1</t>
  </si>
  <si>
    <t>run2</t>
  </si>
  <si>
    <t>inter-day precision (%CV)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</si>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</sst>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8"/>
      <color rgb="FF27413E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5"/>
      <name val="Arial"/>
      <family val="2"/>
    </font>
    <font>
      <b/>
      <sz val="10"/>
      <color rgb="FF27413E"/>
      <name val="Arial"/>
      <family val="2"/>
    </font>
    <font>
      <b/>
      <sz val="8"/>
      <color rgb="FF27413E"/>
      <name val="Arial"/>
      <family val="2"/>
    </font>
    <font>
      <b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2" fontId="8" fillId="16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0" fillId="0" borderId="0" xfId="0" applyNumberFormat="1"/>
    <xf numFmtId="0" fontId="12" fillId="0" borderId="0" xfId="0" applyFont="1"/>
    <xf numFmtId="2" fontId="10" fillId="0" borderId="0" xfId="0" applyNumberFormat="1" applyFont="1"/>
    <xf numFmtId="0" fontId="5" fillId="0" borderId="0" xfId="0" applyFont="1" applyAlignment="1">
      <alignment vertical="center" wrapText="1"/>
    </xf>
    <xf numFmtId="0" fontId="3" fillId="18" borderId="0" xfId="0" applyFont="1" applyFill="1" applyAlignment="1">
      <alignment horizontal="center" vertical="center" wrapText="1"/>
    </xf>
    <xf numFmtId="2" fontId="12" fillId="18" borderId="0" xfId="0" applyNumberFormat="1" applyFont="1" applyFill="1"/>
    <xf numFmtId="0" fontId="11" fillId="0" borderId="0" xfId="0" applyFont="1" applyAlignment="1">
      <alignment vertical="center" wrapText="1"/>
    </xf>
    <xf numFmtId="2" fontId="6" fillId="0" borderId="0" xfId="0" applyNumberFormat="1" applyFont="1"/>
    <xf numFmtId="0" fontId="5" fillId="0" borderId="0" xfId="0" applyFont="1"/>
    <xf numFmtId="0" fontId="10" fillId="0" borderId="0" xfId="0" applyFont="1"/>
    <xf numFmtId="0" fontId="13" fillId="0" borderId="0" xfId="0" applyFont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0" fillId="0" borderId="0" xfId="0" applyNumberFormat="1"/>
    <xf numFmtId="2" fontId="0" fillId="19" borderId="0" xfId="0" applyNumberFormat="1" applyFill="1"/>
    <xf numFmtId="0" fontId="3" fillId="20" borderId="0" xfId="0" applyFont="1" applyFill="1" applyAlignment="1">
      <alignment horizontal="center" vertical="center" wrapText="1"/>
    </xf>
    <xf numFmtId="2" fontId="12" fillId="20" borderId="0" xfId="0" applyNumberFormat="1" applyFont="1" applyFill="1"/>
    <xf numFmtId="0" fontId="5" fillId="21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2" fontId="0" fillId="22" borderId="0" xfId="0" applyNumberFormat="1" applyFill="1"/>
    <xf numFmtId="2" fontId="0" fillId="21" borderId="0" xfId="0" applyNumberFormat="1" applyFill="1"/>
    <xf numFmtId="2" fontId="12" fillId="21" borderId="0" xfId="0" applyNumberFormat="1" applyFont="1" applyFill="1" applyAlignment="1">
      <alignment horizontal="center"/>
    </xf>
    <xf numFmtId="0" fontId="5" fillId="23" borderId="0" xfId="0" applyFont="1" applyFill="1" applyAlignment="1">
      <alignment horizontal="right"/>
    </xf>
    <xf numFmtId="2" fontId="0" fillId="23" borderId="0" xfId="0" applyNumberFormat="1" applyFill="1"/>
    <xf numFmtId="2" fontId="12" fillId="23" borderId="0" xfId="0" applyNumberFormat="1" applyFont="1" applyFill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0" fillId="17" borderId="0" xfId="0" applyFill="1" applyAlignment="1">
      <alignment horizontal="center" vertical="center"/>
    </xf>
    <xf numFmtId="0" fontId="5" fillId="21" borderId="0" xfId="0" applyFont="1" applyFill="1" applyAlignment="1">
      <alignment horizontal="center" vertical="center" wrapText="1"/>
    </xf>
    <xf numFmtId="0" fontId="5" fillId="2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0"/>
  <sheetViews>
    <sheetView workbookViewId="0">
      <selection activeCell="H11" sqref="H11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45147</v>
      </c>
    </row>
    <row r="8" spans="1:2" x14ac:dyDescent="0.15">
      <c r="A8" t="s">
        <v>9</v>
      </c>
      <c r="B8" s="2">
        <v>0.72674768518518518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>
        <v>258527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  <c r="B16" t="s">
        <v>20</v>
      </c>
    </row>
    <row r="17" spans="1:2" x14ac:dyDescent="0.15">
      <c r="B17" t="s">
        <v>21</v>
      </c>
    </row>
    <row r="18" spans="1:2" x14ac:dyDescent="0.15">
      <c r="B18" t="s">
        <v>22</v>
      </c>
    </row>
    <row r="19" spans="1:2" x14ac:dyDescent="0.15">
      <c r="B19" t="s">
        <v>23</v>
      </c>
    </row>
    <row r="20" spans="1:2" x14ac:dyDescent="0.15">
      <c r="B20" t="s">
        <v>24</v>
      </c>
    </row>
    <row r="21" spans="1:2" x14ac:dyDescent="0.15">
      <c r="B21" t="s">
        <v>25</v>
      </c>
    </row>
    <row r="22" spans="1:2" x14ac:dyDescent="0.15">
      <c r="A22" t="s">
        <v>19</v>
      </c>
      <c r="B22" t="s">
        <v>26</v>
      </c>
    </row>
    <row r="23" spans="1:2" x14ac:dyDescent="0.15">
      <c r="B23" t="s">
        <v>21</v>
      </c>
    </row>
    <row r="24" spans="1:2" x14ac:dyDescent="0.15">
      <c r="B24" t="s">
        <v>27</v>
      </c>
    </row>
    <row r="25" spans="1:2" x14ac:dyDescent="0.15">
      <c r="B25" t="s">
        <v>28</v>
      </c>
    </row>
    <row r="26" spans="1:2" x14ac:dyDescent="0.15">
      <c r="B26" t="s">
        <v>29</v>
      </c>
    </row>
    <row r="27" spans="1:2" x14ac:dyDescent="0.15">
      <c r="B27" t="s">
        <v>30</v>
      </c>
    </row>
    <row r="28" spans="1:2" x14ac:dyDescent="0.15">
      <c r="B28" t="s">
        <v>31</v>
      </c>
    </row>
    <row r="29" spans="1:2" x14ac:dyDescent="0.15">
      <c r="B29" t="s">
        <v>32</v>
      </c>
    </row>
    <row r="31" spans="1:2" ht="14" x14ac:dyDescent="0.15">
      <c r="A31" s="3" t="s">
        <v>33</v>
      </c>
      <c r="B31" s="4"/>
    </row>
    <row r="32" spans="1:2" x14ac:dyDescent="0.15">
      <c r="A32" t="s">
        <v>34</v>
      </c>
      <c r="B32">
        <v>24</v>
      </c>
    </row>
    <row r="33" spans="1:15" x14ac:dyDescent="0.15">
      <c r="A33" t="s">
        <v>34</v>
      </c>
      <c r="B33">
        <v>24</v>
      </c>
    </row>
    <row r="34" spans="1:15" x14ac:dyDescent="0.15">
      <c r="A34" t="s">
        <v>34</v>
      </c>
      <c r="B34">
        <v>24</v>
      </c>
    </row>
    <row r="36" spans="1:15" x14ac:dyDescent="0.1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  <c r="I36" s="6">
        <v>7</v>
      </c>
      <c r="J36" s="6">
        <v>8</v>
      </c>
      <c r="K36" s="6">
        <v>9</v>
      </c>
      <c r="L36" s="6">
        <v>10</v>
      </c>
      <c r="M36" s="6">
        <v>11</v>
      </c>
      <c r="N36" s="6">
        <v>12</v>
      </c>
    </row>
    <row r="37" spans="1:15" ht="24" x14ac:dyDescent="0.15">
      <c r="B37" s="81" t="s">
        <v>35</v>
      </c>
      <c r="C37" s="7">
        <v>8.5999999999999993E-2</v>
      </c>
      <c r="D37" s="8">
        <v>0.35299999999999998</v>
      </c>
      <c r="E37" s="9">
        <v>0.155</v>
      </c>
      <c r="F37" s="9">
        <v>0.17100000000000001</v>
      </c>
      <c r="G37" s="10">
        <v>0.31</v>
      </c>
      <c r="H37" s="11">
        <v>0.26800000000000002</v>
      </c>
      <c r="I37" s="12">
        <v>0.19400000000000001</v>
      </c>
      <c r="J37" s="9">
        <v>0.14699999999999999</v>
      </c>
      <c r="K37" s="9">
        <v>0.183</v>
      </c>
      <c r="L37" s="9">
        <v>0.16900000000000001</v>
      </c>
      <c r="M37" s="9">
        <v>0.18</v>
      </c>
      <c r="N37" s="7">
        <v>8.5000000000000006E-2</v>
      </c>
      <c r="O37" s="13" t="s">
        <v>36</v>
      </c>
    </row>
    <row r="38" spans="1:15" ht="24" x14ac:dyDescent="0.15">
      <c r="B38" s="82"/>
      <c r="C38" s="14">
        <v>8.5000000000000006E-2</v>
      </c>
      <c r="D38" s="15">
        <v>0.35799999999999998</v>
      </c>
      <c r="E38" s="16">
        <v>0.153</v>
      </c>
      <c r="F38" s="16">
        <v>0.16700000000000001</v>
      </c>
      <c r="G38" s="17">
        <v>0.307</v>
      </c>
      <c r="H38" s="18">
        <v>0.26</v>
      </c>
      <c r="I38" s="19">
        <v>0.185</v>
      </c>
      <c r="J38" s="16">
        <v>0.14099999999999999</v>
      </c>
      <c r="K38" s="16">
        <v>0.17499999999999999</v>
      </c>
      <c r="L38" s="16">
        <v>0.158</v>
      </c>
      <c r="M38" s="16">
        <v>0.17199999999999999</v>
      </c>
      <c r="N38" s="14">
        <v>8.4000000000000005E-2</v>
      </c>
      <c r="O38" s="13" t="s">
        <v>37</v>
      </c>
    </row>
    <row r="39" spans="1:15" ht="24" x14ac:dyDescent="0.15">
      <c r="B39" s="82"/>
      <c r="C39" s="20">
        <v>4.0000000000000001E-3</v>
      </c>
      <c r="D39" s="20">
        <v>-2.8000000000000001E-2</v>
      </c>
      <c r="E39" s="21">
        <v>8.9999999999999993E-3</v>
      </c>
      <c r="F39" s="21">
        <v>2.5999999999999999E-2</v>
      </c>
      <c r="G39" s="21">
        <v>1.2999999999999999E-2</v>
      </c>
      <c r="H39" s="21">
        <v>4.7E-2</v>
      </c>
      <c r="I39" s="21">
        <v>5.2999999999999999E-2</v>
      </c>
      <c r="J39" s="21">
        <v>3.4000000000000002E-2</v>
      </c>
      <c r="K39" s="21">
        <v>4.5999999999999999E-2</v>
      </c>
      <c r="L39" s="21">
        <v>5.8000000000000003E-2</v>
      </c>
      <c r="M39" s="21">
        <v>4.1000000000000002E-2</v>
      </c>
      <c r="N39" s="20">
        <v>4.0000000000000001E-3</v>
      </c>
      <c r="O39" s="13" t="s">
        <v>38</v>
      </c>
    </row>
    <row r="40" spans="1:15" x14ac:dyDescent="0.15">
      <c r="B40" s="82"/>
      <c r="C40" s="14">
        <v>8.5999999999999993E-2</v>
      </c>
      <c r="D40" s="15">
        <v>0.35499999999999998</v>
      </c>
      <c r="E40" s="16">
        <v>0.151</v>
      </c>
      <c r="F40" s="16">
        <v>0.158</v>
      </c>
      <c r="G40" s="17">
        <v>0.30299999999999999</v>
      </c>
      <c r="H40" s="18">
        <v>0.249</v>
      </c>
      <c r="I40" s="16">
        <v>0.17199999999999999</v>
      </c>
      <c r="J40" s="14">
        <v>0.125</v>
      </c>
      <c r="K40" s="16">
        <v>0.157</v>
      </c>
      <c r="L40" s="16">
        <v>0.14000000000000001</v>
      </c>
      <c r="M40" s="16">
        <v>0.156</v>
      </c>
      <c r="N40" s="14">
        <v>8.5000000000000006E-2</v>
      </c>
      <c r="O40" s="13" t="s">
        <v>39</v>
      </c>
    </row>
    <row r="41" spans="1:15" x14ac:dyDescent="0.15">
      <c r="B41" s="82"/>
      <c r="C41" s="14">
        <v>8.5000000000000006E-2</v>
      </c>
      <c r="D41" s="15">
        <v>0.35199999999999998</v>
      </c>
      <c r="E41" s="16">
        <v>0.14899999999999999</v>
      </c>
      <c r="F41" s="16">
        <v>0.156</v>
      </c>
      <c r="G41" s="17">
        <v>0.30299999999999999</v>
      </c>
      <c r="H41" s="18">
        <v>0.246</v>
      </c>
      <c r="I41" s="16">
        <v>0.16600000000000001</v>
      </c>
      <c r="J41" s="14">
        <v>0.122</v>
      </c>
      <c r="K41" s="16">
        <v>0.154</v>
      </c>
      <c r="L41" s="16">
        <v>0.13600000000000001</v>
      </c>
      <c r="M41" s="16">
        <v>0.155</v>
      </c>
      <c r="N41" s="14">
        <v>8.4000000000000005E-2</v>
      </c>
      <c r="O41" s="13" t="s">
        <v>40</v>
      </c>
    </row>
    <row r="42" spans="1:15" ht="24" x14ac:dyDescent="0.15">
      <c r="B42" s="82"/>
      <c r="C42" s="14">
        <v>4</v>
      </c>
      <c r="D42" s="14">
        <v>6</v>
      </c>
      <c r="E42" s="14">
        <v>7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14</v>
      </c>
      <c r="L42" s="14">
        <v>0</v>
      </c>
      <c r="M42" s="14">
        <v>23</v>
      </c>
      <c r="N42" s="14">
        <v>8</v>
      </c>
      <c r="O42" s="13" t="s">
        <v>41</v>
      </c>
    </row>
    <row r="43" spans="1:15" ht="24" x14ac:dyDescent="0.15">
      <c r="B43" s="82"/>
      <c r="C43" s="22">
        <v>22.036999999999999</v>
      </c>
      <c r="D43" s="22">
        <v>-12.536</v>
      </c>
      <c r="E43" s="22">
        <v>15.978</v>
      </c>
      <c r="F43" s="22">
        <v>6.1669999999999998</v>
      </c>
      <c r="G43" s="22">
        <v>22.725000000000001</v>
      </c>
      <c r="H43" s="22">
        <v>5.327</v>
      </c>
      <c r="I43" s="22">
        <v>3.2210000000000001</v>
      </c>
      <c r="J43" s="22">
        <v>3.694</v>
      </c>
      <c r="K43" s="22">
        <v>3.444</v>
      </c>
      <c r="L43" s="22">
        <v>2.4249999999999998</v>
      </c>
      <c r="M43" s="22">
        <v>3.8420000000000001</v>
      </c>
      <c r="N43" s="22">
        <v>19.102</v>
      </c>
      <c r="O43" s="13" t="s">
        <v>42</v>
      </c>
    </row>
    <row r="44" spans="1:15" ht="24" x14ac:dyDescent="0.15">
      <c r="B44" s="83"/>
      <c r="C44" s="23">
        <v>21.934000000000001</v>
      </c>
      <c r="D44" s="23">
        <v>-12.423999999999999</v>
      </c>
      <c r="E44" s="23">
        <v>15.798</v>
      </c>
      <c r="F44" s="23">
        <v>6.12</v>
      </c>
      <c r="G44" s="23">
        <v>22.733000000000001</v>
      </c>
      <c r="H44" s="23">
        <v>5.2759999999999998</v>
      </c>
      <c r="I44" s="23">
        <v>3.1179999999999999</v>
      </c>
      <c r="J44" s="23">
        <v>3.5910000000000002</v>
      </c>
      <c r="K44" s="23">
        <v>3.3849999999999998</v>
      </c>
      <c r="L44" s="23">
        <v>2.3540000000000001</v>
      </c>
      <c r="M44" s="23">
        <v>3.8119999999999998</v>
      </c>
      <c r="N44" s="23">
        <v>18.899999999999999</v>
      </c>
      <c r="O44" s="13" t="s">
        <v>43</v>
      </c>
    </row>
    <row r="45" spans="1:15" ht="24" x14ac:dyDescent="0.15">
      <c r="B45" s="81" t="s">
        <v>44</v>
      </c>
      <c r="C45" s="24">
        <v>0.498</v>
      </c>
      <c r="D45" s="25">
        <v>0.56399999999999995</v>
      </c>
      <c r="E45" s="25">
        <v>0.57599999999999996</v>
      </c>
      <c r="F45" s="26">
        <v>0.61699999999999999</v>
      </c>
      <c r="G45" s="25">
        <v>0.59599999999999997</v>
      </c>
      <c r="H45" s="27">
        <v>0.67100000000000004</v>
      </c>
      <c r="I45" s="27">
        <v>0.67300000000000004</v>
      </c>
      <c r="J45" s="26">
        <v>0.63800000000000001</v>
      </c>
      <c r="K45" s="26">
        <v>0.628</v>
      </c>
      <c r="L45" s="26">
        <v>0.628</v>
      </c>
      <c r="M45" s="24">
        <v>0.495</v>
      </c>
      <c r="N45" s="7">
        <v>9.1999999999999998E-2</v>
      </c>
      <c r="O45" s="13" t="s">
        <v>36</v>
      </c>
    </row>
    <row r="46" spans="1:15" ht="24" x14ac:dyDescent="0.15">
      <c r="B46" s="82"/>
      <c r="C46" s="28">
        <v>0.63</v>
      </c>
      <c r="D46" s="29">
        <v>0.54600000000000004</v>
      </c>
      <c r="E46" s="29">
        <v>0.56100000000000005</v>
      </c>
      <c r="F46" s="28">
        <v>0.60499999999999998</v>
      </c>
      <c r="G46" s="29">
        <v>0.59</v>
      </c>
      <c r="H46" s="20">
        <v>0.65800000000000003</v>
      </c>
      <c r="I46" s="20">
        <v>0.65500000000000003</v>
      </c>
      <c r="J46" s="28">
        <v>0.628</v>
      </c>
      <c r="K46" s="28">
        <v>0.63400000000000001</v>
      </c>
      <c r="L46" s="20">
        <v>0.66400000000000003</v>
      </c>
      <c r="M46" s="28">
        <v>0.64400000000000002</v>
      </c>
      <c r="N46" s="14">
        <v>9.0999999999999998E-2</v>
      </c>
      <c r="O46" s="13" t="s">
        <v>37</v>
      </c>
    </row>
    <row r="47" spans="1:15" ht="24" x14ac:dyDescent="0.15">
      <c r="B47" s="82"/>
      <c r="C47" s="16">
        <v>-0.72899999999999998</v>
      </c>
      <c r="D47" s="30">
        <v>9.7000000000000003E-2</v>
      </c>
      <c r="E47" s="30">
        <v>8.3000000000000004E-2</v>
      </c>
      <c r="F47" s="21">
        <v>7.0000000000000007E-2</v>
      </c>
      <c r="G47" s="21">
        <v>3.5999999999999997E-2</v>
      </c>
      <c r="H47" s="21">
        <v>7.3999999999999996E-2</v>
      </c>
      <c r="I47" s="30">
        <v>9.7000000000000003E-2</v>
      </c>
      <c r="J47" s="21">
        <v>5.0999999999999997E-2</v>
      </c>
      <c r="K47" s="20">
        <v>-3.4000000000000002E-2</v>
      </c>
      <c r="L47" s="31">
        <v>-0.20100000000000001</v>
      </c>
      <c r="M47" s="14">
        <v>-0.83099999999999996</v>
      </c>
      <c r="N47" s="20">
        <v>6.0000000000000001E-3</v>
      </c>
      <c r="O47" s="13" t="s">
        <v>38</v>
      </c>
    </row>
    <row r="48" spans="1:15" x14ac:dyDescent="0.15">
      <c r="B48" s="82"/>
      <c r="C48" s="31">
        <v>0.498</v>
      </c>
      <c r="D48" s="29">
        <v>0.56699999999999995</v>
      </c>
      <c r="E48" s="29">
        <v>0.57999999999999996</v>
      </c>
      <c r="F48" s="28">
        <v>0.61599999999999999</v>
      </c>
      <c r="G48" s="28">
        <v>0.59899999999999998</v>
      </c>
      <c r="H48" s="20">
        <v>0.67700000000000005</v>
      </c>
      <c r="I48" s="20">
        <v>0.67800000000000005</v>
      </c>
      <c r="J48" s="28">
        <v>0.64300000000000002</v>
      </c>
      <c r="K48" s="28">
        <v>0.626</v>
      </c>
      <c r="L48" s="28">
        <v>0.62</v>
      </c>
      <c r="M48" s="31">
        <v>0.501</v>
      </c>
      <c r="N48" s="14">
        <v>9.0999999999999998E-2</v>
      </c>
      <c r="O48" s="13" t="s">
        <v>39</v>
      </c>
    </row>
    <row r="49" spans="2:15" x14ac:dyDescent="0.15">
      <c r="B49" s="82"/>
      <c r="C49" s="28">
        <v>0.63100000000000001</v>
      </c>
      <c r="D49" s="29">
        <v>0.54600000000000004</v>
      </c>
      <c r="E49" s="29">
        <v>0.56100000000000005</v>
      </c>
      <c r="F49" s="28">
        <v>0.59699999999999998</v>
      </c>
      <c r="G49" s="29">
        <v>0.58699999999999997</v>
      </c>
      <c r="H49" s="20">
        <v>0.65800000000000003</v>
      </c>
      <c r="I49" s="20">
        <v>0.65300000000000002</v>
      </c>
      <c r="J49" s="28">
        <v>0.627</v>
      </c>
      <c r="K49" s="28">
        <v>0.629</v>
      </c>
      <c r="L49" s="20">
        <v>0.65600000000000003</v>
      </c>
      <c r="M49" s="28">
        <v>0.64600000000000002</v>
      </c>
      <c r="N49" s="14">
        <v>9.0999999999999998E-2</v>
      </c>
      <c r="O49" s="13" t="s">
        <v>40</v>
      </c>
    </row>
    <row r="50" spans="2:15" ht="24" x14ac:dyDescent="0.15">
      <c r="B50" s="82"/>
      <c r="C50" s="16">
        <v>1931</v>
      </c>
      <c r="D50" s="28">
        <v>13894</v>
      </c>
      <c r="E50" s="28">
        <v>13380</v>
      </c>
      <c r="F50" s="21">
        <v>15663</v>
      </c>
      <c r="G50" s="21">
        <v>15311</v>
      </c>
      <c r="H50" s="28">
        <v>13767</v>
      </c>
      <c r="I50" s="29">
        <v>12362</v>
      </c>
      <c r="J50" s="28">
        <v>13398</v>
      </c>
      <c r="K50" s="29">
        <v>12519</v>
      </c>
      <c r="L50" s="32">
        <v>9975</v>
      </c>
      <c r="M50" s="16">
        <v>1764</v>
      </c>
      <c r="N50" s="14">
        <v>1</v>
      </c>
      <c r="O50" s="13" t="s">
        <v>41</v>
      </c>
    </row>
    <row r="51" spans="2:15" ht="24" x14ac:dyDescent="0.15">
      <c r="B51" s="82"/>
      <c r="C51" s="22">
        <v>-0.68300000000000005</v>
      </c>
      <c r="D51" s="22">
        <v>5.8630000000000004</v>
      </c>
      <c r="E51" s="22">
        <v>7.0010000000000003</v>
      </c>
      <c r="F51" s="22">
        <v>8.7989999999999995</v>
      </c>
      <c r="G51" s="22">
        <v>16.855</v>
      </c>
      <c r="H51" s="22">
        <v>9.16</v>
      </c>
      <c r="I51" s="22">
        <v>6.9720000000000004</v>
      </c>
      <c r="J51" s="22">
        <v>12.577999999999999</v>
      </c>
      <c r="K51" s="22">
        <v>-18.177</v>
      </c>
      <c r="L51" s="22">
        <v>-3.0819999999999999</v>
      </c>
      <c r="M51" s="22">
        <v>-0.60299999999999998</v>
      </c>
      <c r="N51" s="22">
        <v>14.973000000000001</v>
      </c>
      <c r="O51" s="13" t="s">
        <v>42</v>
      </c>
    </row>
    <row r="52" spans="2:15" ht="24" x14ac:dyDescent="0.15">
      <c r="B52" s="83"/>
      <c r="C52" s="23">
        <v>-0.86399999999999999</v>
      </c>
      <c r="D52" s="23">
        <v>5.6520000000000001</v>
      </c>
      <c r="E52" s="23">
        <v>6.7750000000000004</v>
      </c>
      <c r="F52" s="23">
        <v>8.5310000000000006</v>
      </c>
      <c r="G52" s="23">
        <v>16.509</v>
      </c>
      <c r="H52" s="23">
        <v>8.9109999999999996</v>
      </c>
      <c r="I52" s="23">
        <v>6.7169999999999996</v>
      </c>
      <c r="J52" s="23">
        <v>12.266999999999999</v>
      </c>
      <c r="K52" s="23">
        <v>-18.27</v>
      </c>
      <c r="L52" s="23">
        <v>-3.2610000000000001</v>
      </c>
      <c r="M52" s="23">
        <v>-0.77800000000000002</v>
      </c>
      <c r="N52" s="23">
        <v>14.875</v>
      </c>
      <c r="O52" s="13" t="s">
        <v>43</v>
      </c>
    </row>
    <row r="53" spans="2:15" ht="24" x14ac:dyDescent="0.15">
      <c r="B53" s="81" t="s">
        <v>45</v>
      </c>
      <c r="C53" s="33">
        <v>0.502</v>
      </c>
      <c r="D53" s="25">
        <v>0.59199999999999997</v>
      </c>
      <c r="E53" s="25">
        <v>0.56799999999999995</v>
      </c>
      <c r="F53" s="25">
        <v>0.58199999999999996</v>
      </c>
      <c r="G53" s="25">
        <v>0.57299999999999995</v>
      </c>
      <c r="H53" s="26">
        <v>0.63500000000000001</v>
      </c>
      <c r="I53" s="27">
        <v>0.68600000000000005</v>
      </c>
      <c r="J53" s="26">
        <v>0.65600000000000003</v>
      </c>
      <c r="K53" s="27">
        <v>0.66200000000000003</v>
      </c>
      <c r="L53" s="26">
        <v>0.627</v>
      </c>
      <c r="M53" s="8">
        <v>0.371</v>
      </c>
      <c r="N53" s="7">
        <v>8.7999999999999995E-2</v>
      </c>
      <c r="O53" s="13" t="s">
        <v>36</v>
      </c>
    </row>
    <row r="54" spans="2:15" ht="24" x14ac:dyDescent="0.15">
      <c r="B54" s="82"/>
      <c r="C54" s="28">
        <v>0.63600000000000001</v>
      </c>
      <c r="D54" s="29">
        <v>0.57299999999999995</v>
      </c>
      <c r="E54" s="29">
        <v>0.56299999999999994</v>
      </c>
      <c r="F54" s="29">
        <v>0.56000000000000005</v>
      </c>
      <c r="G54" s="29">
        <v>0.55500000000000005</v>
      </c>
      <c r="H54" s="28">
        <v>0.61199999999999999</v>
      </c>
      <c r="I54" s="20">
        <v>0.66600000000000004</v>
      </c>
      <c r="J54" s="28">
        <v>0.64600000000000002</v>
      </c>
      <c r="K54" s="20">
        <v>0.68200000000000005</v>
      </c>
      <c r="L54" s="20">
        <v>0.67400000000000004</v>
      </c>
      <c r="M54" s="32">
        <v>0.47299999999999998</v>
      </c>
      <c r="N54" s="14">
        <v>8.5999999999999993E-2</v>
      </c>
      <c r="O54" s="13" t="s">
        <v>37</v>
      </c>
    </row>
    <row r="55" spans="2:15" ht="24" x14ac:dyDescent="0.15">
      <c r="B55" s="82"/>
      <c r="C55" s="16">
        <v>-0.745</v>
      </c>
      <c r="D55" s="30">
        <v>0.107</v>
      </c>
      <c r="E55" s="21">
        <v>0.03</v>
      </c>
      <c r="F55" s="30">
        <v>0.121</v>
      </c>
      <c r="G55" s="30">
        <v>0.10100000000000001</v>
      </c>
      <c r="H55" s="30">
        <v>0.126</v>
      </c>
      <c r="I55" s="30">
        <v>0.112</v>
      </c>
      <c r="J55" s="21">
        <v>5.3999999999999999E-2</v>
      </c>
      <c r="K55" s="28">
        <v>-0.111</v>
      </c>
      <c r="L55" s="31">
        <v>-0.26500000000000001</v>
      </c>
      <c r="M55" s="18">
        <v>-0.56999999999999995</v>
      </c>
      <c r="N55" s="20">
        <v>7.0000000000000001E-3</v>
      </c>
      <c r="O55" s="13" t="s">
        <v>38</v>
      </c>
    </row>
    <row r="56" spans="2:15" x14ac:dyDescent="0.15">
      <c r="B56" s="82"/>
      <c r="C56" s="31">
        <v>0.504</v>
      </c>
      <c r="D56" s="29">
        <v>0.59599999999999997</v>
      </c>
      <c r="E56" s="29">
        <v>0.57399999999999995</v>
      </c>
      <c r="F56" s="29">
        <v>0.58899999999999997</v>
      </c>
      <c r="G56" s="29">
        <v>0.57899999999999996</v>
      </c>
      <c r="H56" s="28">
        <v>0.64100000000000001</v>
      </c>
      <c r="I56" s="20">
        <v>0.69399999999999995</v>
      </c>
      <c r="J56" s="20">
        <v>0.66200000000000003</v>
      </c>
      <c r="K56" s="20">
        <v>0.67200000000000004</v>
      </c>
      <c r="L56" s="28">
        <v>0.63400000000000001</v>
      </c>
      <c r="M56" s="15">
        <v>0.375</v>
      </c>
      <c r="N56" s="14">
        <v>8.6999999999999994E-2</v>
      </c>
      <c r="O56" s="13" t="s">
        <v>39</v>
      </c>
    </row>
    <row r="57" spans="2:15" x14ac:dyDescent="0.15">
      <c r="B57" s="82"/>
      <c r="C57" s="28">
        <v>0.63800000000000001</v>
      </c>
      <c r="D57" s="29">
        <v>0.57399999999999995</v>
      </c>
      <c r="E57" s="29">
        <v>0.56100000000000005</v>
      </c>
      <c r="F57" s="29">
        <v>0.56299999999999994</v>
      </c>
      <c r="G57" s="29">
        <v>0.55600000000000005</v>
      </c>
      <c r="H57" s="28">
        <v>0.61399999999999999</v>
      </c>
      <c r="I57" s="20">
        <v>0.67</v>
      </c>
      <c r="J57" s="20">
        <v>0.64700000000000002</v>
      </c>
      <c r="K57" s="20">
        <v>0.69099999999999995</v>
      </c>
      <c r="L57" s="20">
        <v>0.67500000000000004</v>
      </c>
      <c r="M57" s="32">
        <v>0.47299999999999998</v>
      </c>
      <c r="N57" s="14">
        <v>8.6999999999999994E-2</v>
      </c>
      <c r="O57" s="13" t="s">
        <v>40</v>
      </c>
    </row>
    <row r="58" spans="2:15" ht="24" x14ac:dyDescent="0.15">
      <c r="B58" s="82"/>
      <c r="C58" s="16">
        <v>1967</v>
      </c>
      <c r="D58" s="30">
        <v>17082</v>
      </c>
      <c r="E58" s="21">
        <v>15796</v>
      </c>
      <c r="F58" s="30">
        <v>17220</v>
      </c>
      <c r="G58" s="30">
        <v>16778</v>
      </c>
      <c r="H58" s="20">
        <v>14859</v>
      </c>
      <c r="I58" s="29">
        <v>11785</v>
      </c>
      <c r="J58" s="28">
        <v>12751</v>
      </c>
      <c r="K58" s="29">
        <v>12487</v>
      </c>
      <c r="L58" s="32">
        <v>9058</v>
      </c>
      <c r="M58" s="16">
        <v>2445</v>
      </c>
      <c r="N58" s="14">
        <v>0</v>
      </c>
      <c r="O58" s="13" t="s">
        <v>41</v>
      </c>
    </row>
    <row r="59" spans="2:15" ht="24" x14ac:dyDescent="0.15">
      <c r="B59" s="82"/>
      <c r="C59" s="22">
        <v>-0.67700000000000005</v>
      </c>
      <c r="D59" s="22">
        <v>5.5869999999999997</v>
      </c>
      <c r="E59" s="22">
        <v>19.14</v>
      </c>
      <c r="F59" s="22">
        <v>4.883</v>
      </c>
      <c r="G59" s="22">
        <v>5.7619999999999996</v>
      </c>
      <c r="H59" s="22">
        <v>5.1040000000000001</v>
      </c>
      <c r="I59" s="22">
        <v>6.21</v>
      </c>
      <c r="J59" s="22">
        <v>12.282999999999999</v>
      </c>
      <c r="K59" s="22">
        <v>-6.0789999999999997</v>
      </c>
      <c r="L59" s="22">
        <v>-2.3919999999999999</v>
      </c>
      <c r="M59" s="22">
        <v>-0.65800000000000003</v>
      </c>
      <c r="N59" s="22">
        <v>12.074</v>
      </c>
      <c r="O59" s="13" t="s">
        <v>42</v>
      </c>
    </row>
    <row r="60" spans="2:15" ht="24" x14ac:dyDescent="0.15">
      <c r="B60" s="83"/>
      <c r="C60" s="23">
        <v>-0.85699999999999998</v>
      </c>
      <c r="D60" s="23">
        <v>5.3780000000000001</v>
      </c>
      <c r="E60" s="23">
        <v>18.716999999999999</v>
      </c>
      <c r="F60" s="23">
        <v>4.673</v>
      </c>
      <c r="G60" s="23">
        <v>5.5289999999999999</v>
      </c>
      <c r="H60" s="23">
        <v>4.8929999999999998</v>
      </c>
      <c r="I60" s="23">
        <v>6</v>
      </c>
      <c r="J60" s="23">
        <v>12.004</v>
      </c>
      <c r="K60" s="23">
        <v>-6.2480000000000002</v>
      </c>
      <c r="L60" s="23">
        <v>-2.548</v>
      </c>
      <c r="M60" s="23">
        <v>-0.83</v>
      </c>
      <c r="N60" s="23">
        <v>11.991</v>
      </c>
      <c r="O60" s="13" t="s">
        <v>43</v>
      </c>
    </row>
    <row r="61" spans="2:15" ht="24" x14ac:dyDescent="0.15">
      <c r="B61" s="81" t="s">
        <v>46</v>
      </c>
      <c r="C61" s="33">
        <v>0.51900000000000002</v>
      </c>
      <c r="D61" s="25">
        <v>0.59199999999999997</v>
      </c>
      <c r="E61" s="25">
        <v>0.59299999999999997</v>
      </c>
      <c r="F61" s="25">
        <v>0.57199999999999995</v>
      </c>
      <c r="G61" s="25">
        <v>0.56799999999999995</v>
      </c>
      <c r="H61" s="26">
        <v>0.61</v>
      </c>
      <c r="I61" s="25">
        <v>0.59199999999999997</v>
      </c>
      <c r="J61" s="26">
        <v>0.626</v>
      </c>
      <c r="K61" s="26">
        <v>0.623</v>
      </c>
      <c r="L61" s="26">
        <v>0.60799999999999998</v>
      </c>
      <c r="M61" s="8">
        <v>0.36599999999999999</v>
      </c>
      <c r="N61" s="7">
        <v>9.1999999999999998E-2</v>
      </c>
      <c r="O61" s="13" t="s">
        <v>36</v>
      </c>
    </row>
    <row r="62" spans="2:15" ht="24" x14ac:dyDescent="0.15">
      <c r="B62" s="82"/>
      <c r="C62" s="20">
        <v>0.65700000000000003</v>
      </c>
      <c r="D62" s="29">
        <v>0.57499999999999996</v>
      </c>
      <c r="E62" s="29">
        <v>0.57199999999999995</v>
      </c>
      <c r="F62" s="29">
        <v>0.55000000000000004</v>
      </c>
      <c r="G62" s="29">
        <v>0.54600000000000004</v>
      </c>
      <c r="H62" s="29">
        <v>0.58799999999999997</v>
      </c>
      <c r="I62" s="29">
        <v>0.57499999999999996</v>
      </c>
      <c r="J62" s="28">
        <v>0.60599999999999998</v>
      </c>
      <c r="K62" s="28">
        <v>0.629</v>
      </c>
      <c r="L62" s="28">
        <v>0.64400000000000002</v>
      </c>
      <c r="M62" s="32">
        <v>0.46500000000000002</v>
      </c>
      <c r="N62" s="14">
        <v>8.7999999999999995E-2</v>
      </c>
      <c r="O62" s="13" t="s">
        <v>37</v>
      </c>
    </row>
    <row r="63" spans="2:15" ht="24" x14ac:dyDescent="0.15">
      <c r="B63" s="82"/>
      <c r="C63" s="14">
        <v>-0.76300000000000001</v>
      </c>
      <c r="D63" s="30">
        <v>9.4E-2</v>
      </c>
      <c r="E63" s="30">
        <v>0.11899999999999999</v>
      </c>
      <c r="F63" s="30">
        <v>0.122</v>
      </c>
      <c r="G63" s="30">
        <v>0.126</v>
      </c>
      <c r="H63" s="30">
        <v>0.121</v>
      </c>
      <c r="I63" s="30">
        <v>9.6000000000000002E-2</v>
      </c>
      <c r="J63" s="30">
        <v>0.109</v>
      </c>
      <c r="K63" s="20">
        <v>-3.1E-2</v>
      </c>
      <c r="L63" s="29">
        <v>-0.19900000000000001</v>
      </c>
      <c r="M63" s="17">
        <v>-0.54700000000000004</v>
      </c>
      <c r="N63" s="21">
        <v>2.7E-2</v>
      </c>
      <c r="O63" s="13" t="s">
        <v>38</v>
      </c>
    </row>
    <row r="64" spans="2:15" x14ac:dyDescent="0.15">
      <c r="B64" s="82"/>
      <c r="C64" s="31">
        <v>0.52100000000000002</v>
      </c>
      <c r="D64" s="29">
        <v>0.59699999999999998</v>
      </c>
      <c r="E64" s="28">
        <v>0.60199999999999998</v>
      </c>
      <c r="F64" s="29">
        <v>0.58199999999999996</v>
      </c>
      <c r="G64" s="29">
        <v>0.57899999999999996</v>
      </c>
      <c r="H64" s="28">
        <v>0.61799999999999999</v>
      </c>
      <c r="I64" s="29">
        <v>0.59699999999999998</v>
      </c>
      <c r="J64" s="28">
        <v>0.63200000000000001</v>
      </c>
      <c r="K64" s="28">
        <v>0.629</v>
      </c>
      <c r="L64" s="28">
        <v>0.61299999999999999</v>
      </c>
      <c r="M64" s="15">
        <v>0.372</v>
      </c>
      <c r="N64" s="14">
        <v>8.5000000000000006E-2</v>
      </c>
      <c r="O64" s="13" t="s">
        <v>39</v>
      </c>
    </row>
    <row r="65" spans="2:15" x14ac:dyDescent="0.15">
      <c r="B65" s="82"/>
      <c r="C65" s="20">
        <v>0.65800000000000003</v>
      </c>
      <c r="D65" s="29">
        <v>0.57699999999999996</v>
      </c>
      <c r="E65" s="29">
        <v>0.57599999999999996</v>
      </c>
      <c r="F65" s="29">
        <v>0.55500000000000005</v>
      </c>
      <c r="G65" s="29">
        <v>0.55500000000000005</v>
      </c>
      <c r="H65" s="29">
        <v>0.59499999999999997</v>
      </c>
      <c r="I65" s="29">
        <v>0.57799999999999996</v>
      </c>
      <c r="J65" s="28">
        <v>0.61299999999999999</v>
      </c>
      <c r="K65" s="28">
        <v>0.63600000000000001</v>
      </c>
      <c r="L65" s="20">
        <v>0.64600000000000002</v>
      </c>
      <c r="M65" s="32">
        <v>0.46700000000000003</v>
      </c>
      <c r="N65" s="14">
        <v>8.4000000000000005E-2</v>
      </c>
      <c r="O65" s="13" t="s">
        <v>40</v>
      </c>
    </row>
    <row r="66" spans="2:15" ht="24" x14ac:dyDescent="0.15">
      <c r="B66" s="82"/>
      <c r="C66" s="16">
        <v>2239</v>
      </c>
      <c r="D66" s="30">
        <v>17102</v>
      </c>
      <c r="E66" s="30">
        <v>17166</v>
      </c>
      <c r="F66" s="30">
        <v>16717</v>
      </c>
      <c r="G66" s="21">
        <v>16279</v>
      </c>
      <c r="H66" s="20">
        <v>13945</v>
      </c>
      <c r="I66" s="20">
        <v>14051</v>
      </c>
      <c r="J66" s="20">
        <v>14166</v>
      </c>
      <c r="K66" s="29">
        <v>11791</v>
      </c>
      <c r="L66" s="32">
        <v>9912</v>
      </c>
      <c r="M66" s="16">
        <v>2405</v>
      </c>
      <c r="N66" s="14">
        <v>0</v>
      </c>
      <c r="O66" s="13" t="s">
        <v>41</v>
      </c>
    </row>
    <row r="67" spans="2:15" ht="24" x14ac:dyDescent="0.15">
      <c r="B67" s="82"/>
      <c r="C67" s="22">
        <v>-0.68400000000000005</v>
      </c>
      <c r="D67" s="22">
        <v>6.3209999999999997</v>
      </c>
      <c r="E67" s="22">
        <v>5.0599999999999996</v>
      </c>
      <c r="F67" s="22">
        <v>4.7859999999999996</v>
      </c>
      <c r="G67" s="22">
        <v>4.6139999999999999</v>
      </c>
      <c r="H67" s="22">
        <v>5.13</v>
      </c>
      <c r="I67" s="22">
        <v>6.2130000000000001</v>
      </c>
      <c r="J67" s="22">
        <v>5.774</v>
      </c>
      <c r="K67" s="22">
        <v>-20.599</v>
      </c>
      <c r="L67" s="22">
        <v>-3.0750000000000002</v>
      </c>
      <c r="M67" s="22">
        <v>-0.68100000000000005</v>
      </c>
      <c r="N67" s="22">
        <v>3.13</v>
      </c>
      <c r="O67" s="13" t="s">
        <v>42</v>
      </c>
    </row>
    <row r="68" spans="2:15" ht="24" x14ac:dyDescent="0.15">
      <c r="B68" s="83"/>
      <c r="C68" s="23">
        <v>-0.86299999999999999</v>
      </c>
      <c r="D68" s="23">
        <v>6.1040000000000001</v>
      </c>
      <c r="E68" s="23">
        <v>4.8419999999999996</v>
      </c>
      <c r="F68" s="23">
        <v>4.5659999999999998</v>
      </c>
      <c r="G68" s="23">
        <v>4.4189999999999996</v>
      </c>
      <c r="H68" s="23">
        <v>4.9320000000000004</v>
      </c>
      <c r="I68" s="23">
        <v>6.0170000000000003</v>
      </c>
      <c r="J68" s="23">
        <v>5.6050000000000004</v>
      </c>
      <c r="K68" s="23">
        <v>-20.824000000000002</v>
      </c>
      <c r="L68" s="23">
        <v>-3.2410000000000001</v>
      </c>
      <c r="M68" s="23">
        <v>-0.85299999999999998</v>
      </c>
      <c r="N68" s="23">
        <v>3.0779999999999998</v>
      </c>
      <c r="O68" s="13" t="s">
        <v>43</v>
      </c>
    </row>
    <row r="69" spans="2:15" ht="24" x14ac:dyDescent="0.15">
      <c r="B69" s="81" t="s">
        <v>47</v>
      </c>
      <c r="C69" s="24">
        <v>0.49399999999999999</v>
      </c>
      <c r="D69" s="25">
        <v>0.57599999999999996</v>
      </c>
      <c r="E69" s="25">
        <v>0.56699999999999995</v>
      </c>
      <c r="F69" s="25">
        <v>0.56899999999999995</v>
      </c>
      <c r="G69" s="26">
        <v>0.60899999999999999</v>
      </c>
      <c r="H69" s="34">
        <v>0.81599999999999995</v>
      </c>
      <c r="I69" s="26">
        <v>0.61499999999999999</v>
      </c>
      <c r="J69" s="25">
        <v>0.58499999999999996</v>
      </c>
      <c r="K69" s="25">
        <v>0.59199999999999997</v>
      </c>
      <c r="L69" s="25">
        <v>0.59799999999999998</v>
      </c>
      <c r="M69" s="8">
        <v>0.38600000000000001</v>
      </c>
      <c r="N69" s="7">
        <v>8.7999999999999995E-2</v>
      </c>
      <c r="O69" s="13" t="s">
        <v>36</v>
      </c>
    </row>
    <row r="70" spans="2:15" ht="24" x14ac:dyDescent="0.15">
      <c r="B70" s="82"/>
      <c r="C70" s="28">
        <v>0.628</v>
      </c>
      <c r="D70" s="29">
        <v>0.56799999999999995</v>
      </c>
      <c r="E70" s="29">
        <v>0.55900000000000005</v>
      </c>
      <c r="F70" s="29">
        <v>0.54500000000000004</v>
      </c>
      <c r="G70" s="29">
        <v>0.58199999999999996</v>
      </c>
      <c r="H70" s="30">
        <v>0.80200000000000005</v>
      </c>
      <c r="I70" s="29">
        <v>0.59099999999999997</v>
      </c>
      <c r="J70" s="29">
        <v>0.56899999999999995</v>
      </c>
      <c r="K70" s="28">
        <v>0.61299999999999999</v>
      </c>
      <c r="L70" s="28">
        <v>0.64700000000000002</v>
      </c>
      <c r="M70" s="31">
        <v>0.49399999999999999</v>
      </c>
      <c r="N70" s="14">
        <v>8.5000000000000006E-2</v>
      </c>
      <c r="O70" s="13" t="s">
        <v>37</v>
      </c>
    </row>
    <row r="71" spans="2:15" ht="24" x14ac:dyDescent="0.15">
      <c r="B71" s="82"/>
      <c r="C71" s="16">
        <v>-0.745</v>
      </c>
      <c r="D71" s="21">
        <v>4.3999999999999997E-2</v>
      </c>
      <c r="E71" s="21">
        <v>4.8000000000000001E-2</v>
      </c>
      <c r="F71" s="30">
        <v>0.13300000000000001</v>
      </c>
      <c r="G71" s="30">
        <v>0.14899999999999999</v>
      </c>
      <c r="H71" s="21">
        <v>7.8E-2</v>
      </c>
      <c r="I71" s="30">
        <v>0.13600000000000001</v>
      </c>
      <c r="J71" s="30">
        <v>0.09</v>
      </c>
      <c r="K71" s="28">
        <v>-0.114</v>
      </c>
      <c r="L71" s="31">
        <v>-0.27100000000000002</v>
      </c>
      <c r="M71" s="18">
        <v>-0.59899999999999998</v>
      </c>
      <c r="N71" s="21">
        <v>1.7000000000000001E-2</v>
      </c>
      <c r="O71" s="13" t="s">
        <v>38</v>
      </c>
    </row>
    <row r="72" spans="2:15" x14ac:dyDescent="0.15">
      <c r="B72" s="82"/>
      <c r="C72" s="31">
        <v>0.497</v>
      </c>
      <c r="D72" s="29">
        <v>0.58299999999999996</v>
      </c>
      <c r="E72" s="29">
        <v>0.57599999999999996</v>
      </c>
      <c r="F72" s="29">
        <v>0.57699999999999996</v>
      </c>
      <c r="G72" s="28">
        <v>0.61</v>
      </c>
      <c r="H72" s="30">
        <v>0.80300000000000005</v>
      </c>
      <c r="I72" s="28">
        <v>0.625</v>
      </c>
      <c r="J72" s="29">
        <v>0.59</v>
      </c>
      <c r="K72" s="29">
        <v>0.59599999999999997</v>
      </c>
      <c r="L72" s="28">
        <v>0.60399999999999998</v>
      </c>
      <c r="M72" s="15">
        <v>0.38600000000000001</v>
      </c>
      <c r="N72" s="14">
        <v>8.5000000000000006E-2</v>
      </c>
      <c r="O72" s="13" t="s">
        <v>39</v>
      </c>
    </row>
    <row r="73" spans="2:15" x14ac:dyDescent="0.15">
      <c r="B73" s="82"/>
      <c r="C73" s="28">
        <v>0.63</v>
      </c>
      <c r="D73" s="29">
        <v>0.56899999999999995</v>
      </c>
      <c r="E73" s="29">
        <v>0.56299999999999994</v>
      </c>
      <c r="F73" s="29">
        <v>0.55200000000000005</v>
      </c>
      <c r="G73" s="29">
        <v>0.58699999999999997</v>
      </c>
      <c r="H73" s="30">
        <v>0.8</v>
      </c>
      <c r="I73" s="28">
        <v>0.60099999999999998</v>
      </c>
      <c r="J73" s="29">
        <v>0.57599999999999996</v>
      </c>
      <c r="K73" s="28">
        <v>0.61799999999999999</v>
      </c>
      <c r="L73" s="20">
        <v>0.65100000000000002</v>
      </c>
      <c r="M73" s="31">
        <v>0.49299999999999999</v>
      </c>
      <c r="N73" s="14">
        <v>8.4000000000000005E-2</v>
      </c>
      <c r="O73" s="13" t="s">
        <v>40</v>
      </c>
    </row>
    <row r="74" spans="2:15" ht="24" x14ac:dyDescent="0.15">
      <c r="B74" s="82"/>
      <c r="C74" s="16">
        <v>2253</v>
      </c>
      <c r="D74" s="30">
        <v>16737</v>
      </c>
      <c r="E74" s="30">
        <v>16513</v>
      </c>
      <c r="F74" s="30">
        <v>17432</v>
      </c>
      <c r="G74" s="30">
        <v>17432</v>
      </c>
      <c r="H74" s="20">
        <v>14514</v>
      </c>
      <c r="I74" s="30">
        <v>16934</v>
      </c>
      <c r="J74" s="21">
        <v>15971</v>
      </c>
      <c r="K74" s="29">
        <v>11676</v>
      </c>
      <c r="L74" s="32">
        <v>8915</v>
      </c>
      <c r="M74" s="16">
        <v>2503</v>
      </c>
      <c r="N74" s="14">
        <v>2</v>
      </c>
      <c r="O74" s="13" t="s">
        <v>41</v>
      </c>
    </row>
    <row r="75" spans="2:15" ht="24" x14ac:dyDescent="0.15">
      <c r="B75" s="82"/>
      <c r="C75" s="22">
        <v>-0.66700000000000004</v>
      </c>
      <c r="D75" s="22">
        <v>13.113</v>
      </c>
      <c r="E75" s="22">
        <v>11.907</v>
      </c>
      <c r="F75" s="22">
        <v>4.343</v>
      </c>
      <c r="G75" s="22">
        <v>4.0990000000000002</v>
      </c>
      <c r="H75" s="22">
        <v>10.254</v>
      </c>
      <c r="I75" s="22">
        <v>4.6079999999999997</v>
      </c>
      <c r="J75" s="22">
        <v>6.5570000000000004</v>
      </c>
      <c r="K75" s="22">
        <v>-5.2110000000000003</v>
      </c>
      <c r="L75" s="22">
        <v>-2.2309999999999999</v>
      </c>
      <c r="M75" s="22">
        <v>-0.64300000000000002</v>
      </c>
      <c r="N75" s="22">
        <v>4.9530000000000003</v>
      </c>
      <c r="O75" s="13" t="s">
        <v>42</v>
      </c>
    </row>
    <row r="76" spans="2:15" ht="24" x14ac:dyDescent="0.15">
      <c r="B76" s="83"/>
      <c r="C76" s="23">
        <v>-0.84599999999999997</v>
      </c>
      <c r="D76" s="23">
        <v>12.803000000000001</v>
      </c>
      <c r="E76" s="23">
        <v>11.654</v>
      </c>
      <c r="F76" s="23">
        <v>4.16</v>
      </c>
      <c r="G76" s="23">
        <v>3.9449999999999998</v>
      </c>
      <c r="H76" s="23">
        <v>10.211</v>
      </c>
      <c r="I76" s="23">
        <v>4.431</v>
      </c>
      <c r="J76" s="23">
        <v>6.399</v>
      </c>
      <c r="K76" s="23">
        <v>-5.3970000000000002</v>
      </c>
      <c r="L76" s="23">
        <v>-2.407</v>
      </c>
      <c r="M76" s="23">
        <v>-0.82199999999999995</v>
      </c>
      <c r="N76" s="23">
        <v>4.8719999999999999</v>
      </c>
      <c r="O76" s="13" t="s">
        <v>43</v>
      </c>
    </row>
    <row r="77" spans="2:15" ht="24" x14ac:dyDescent="0.15">
      <c r="B77" s="81" t="s">
        <v>48</v>
      </c>
      <c r="C77" s="24">
        <v>0.48799999999999999</v>
      </c>
      <c r="D77" s="33">
        <v>0.55300000000000005</v>
      </c>
      <c r="E77" s="25">
        <v>0.56399999999999995</v>
      </c>
      <c r="F77" s="25">
        <v>0.55900000000000005</v>
      </c>
      <c r="G77" s="25">
        <v>0.56499999999999995</v>
      </c>
      <c r="H77" s="26">
        <v>0.61299999999999999</v>
      </c>
      <c r="I77" s="25">
        <v>0.56200000000000006</v>
      </c>
      <c r="J77" s="25">
        <v>0.57999999999999996</v>
      </c>
      <c r="K77" s="25">
        <v>0.58699999999999997</v>
      </c>
      <c r="L77" s="25">
        <v>0.56100000000000005</v>
      </c>
      <c r="M77" s="8">
        <v>0.38300000000000001</v>
      </c>
      <c r="N77" s="11">
        <v>0.24199999999999999</v>
      </c>
      <c r="O77" s="13" t="s">
        <v>36</v>
      </c>
    </row>
    <row r="78" spans="2:15" ht="24" x14ac:dyDescent="0.15">
      <c r="B78" s="82"/>
      <c r="C78" s="28">
        <v>0.62</v>
      </c>
      <c r="D78" s="31">
        <v>0.52700000000000002</v>
      </c>
      <c r="E78" s="31">
        <v>0.53900000000000003</v>
      </c>
      <c r="F78" s="31">
        <v>0.54</v>
      </c>
      <c r="G78" s="29">
        <v>0.55000000000000004</v>
      </c>
      <c r="H78" s="29">
        <v>0.58799999999999997</v>
      </c>
      <c r="I78" s="31">
        <v>0.54300000000000004</v>
      </c>
      <c r="J78" s="29">
        <v>0.56599999999999995</v>
      </c>
      <c r="K78" s="28">
        <v>0.61499999999999999</v>
      </c>
      <c r="L78" s="28">
        <v>0.60899999999999999</v>
      </c>
      <c r="M78" s="32">
        <v>0.48899999999999999</v>
      </c>
      <c r="N78" s="19">
        <v>0.22800000000000001</v>
      </c>
      <c r="O78" s="13" t="s">
        <v>37</v>
      </c>
    </row>
    <row r="79" spans="2:15" ht="24" x14ac:dyDescent="0.15">
      <c r="B79" s="82"/>
      <c r="C79" s="16">
        <v>-0.73399999999999999</v>
      </c>
      <c r="D79" s="30">
        <v>0.14000000000000001</v>
      </c>
      <c r="E79" s="30">
        <v>0.14099999999999999</v>
      </c>
      <c r="F79" s="30">
        <v>0.108</v>
      </c>
      <c r="G79" s="30">
        <v>8.5000000000000006E-2</v>
      </c>
      <c r="H79" s="30">
        <v>0.13700000000000001</v>
      </c>
      <c r="I79" s="30">
        <v>0.104</v>
      </c>
      <c r="J79" s="21">
        <v>7.6999999999999999E-2</v>
      </c>
      <c r="K79" s="29">
        <v>-0.156</v>
      </c>
      <c r="L79" s="31">
        <v>-0.27</v>
      </c>
      <c r="M79" s="18">
        <v>-0.58699999999999997</v>
      </c>
      <c r="N79" s="30">
        <v>7.9000000000000001E-2</v>
      </c>
      <c r="O79" s="13" t="s">
        <v>38</v>
      </c>
    </row>
    <row r="80" spans="2:15" x14ac:dyDescent="0.15">
      <c r="B80" s="82"/>
      <c r="C80" s="32">
        <v>0.49199999999999999</v>
      </c>
      <c r="D80" s="29">
        <v>0.55800000000000005</v>
      </c>
      <c r="E80" s="29">
        <v>0.56499999999999995</v>
      </c>
      <c r="F80" s="29">
        <v>0.56499999999999995</v>
      </c>
      <c r="G80" s="29">
        <v>0.57099999999999995</v>
      </c>
      <c r="H80" s="28">
        <v>0.61599999999999999</v>
      </c>
      <c r="I80" s="29">
        <v>0.56899999999999995</v>
      </c>
      <c r="J80" s="29">
        <v>0.58499999999999996</v>
      </c>
      <c r="K80" s="29">
        <v>0.59199999999999997</v>
      </c>
      <c r="L80" s="29">
        <v>0.56299999999999994</v>
      </c>
      <c r="M80" s="15">
        <v>0.38400000000000001</v>
      </c>
      <c r="N80" s="19">
        <v>0.22700000000000001</v>
      </c>
      <c r="O80" s="13" t="s">
        <v>39</v>
      </c>
    </row>
    <row r="81" spans="2:15" x14ac:dyDescent="0.15">
      <c r="B81" s="82"/>
      <c r="C81" s="28">
        <v>0.622</v>
      </c>
      <c r="D81" s="31">
        <v>0.53100000000000003</v>
      </c>
      <c r="E81" s="31">
        <v>0.54200000000000004</v>
      </c>
      <c r="F81" s="29">
        <v>0.54600000000000004</v>
      </c>
      <c r="G81" s="29">
        <v>0.55600000000000005</v>
      </c>
      <c r="H81" s="29">
        <v>0.58799999999999997</v>
      </c>
      <c r="I81" s="29">
        <v>0.55000000000000004</v>
      </c>
      <c r="J81" s="29">
        <v>0.57099999999999995</v>
      </c>
      <c r="K81" s="28">
        <v>0.61799999999999999</v>
      </c>
      <c r="L81" s="28">
        <v>0.60699999999999998</v>
      </c>
      <c r="M81" s="32">
        <v>0.48899999999999999</v>
      </c>
      <c r="N81" s="19">
        <v>0.218</v>
      </c>
      <c r="O81" s="13" t="s">
        <v>40</v>
      </c>
    </row>
    <row r="82" spans="2:15" ht="24" x14ac:dyDescent="0.15">
      <c r="B82" s="82"/>
      <c r="C82" s="16">
        <v>2248</v>
      </c>
      <c r="D82" s="30">
        <v>17733</v>
      </c>
      <c r="E82" s="30">
        <v>17099</v>
      </c>
      <c r="F82" s="30">
        <v>16935</v>
      </c>
      <c r="G82" s="30">
        <v>16633</v>
      </c>
      <c r="H82" s="30">
        <v>16579</v>
      </c>
      <c r="I82" s="30">
        <v>17017</v>
      </c>
      <c r="J82" s="21">
        <v>15765</v>
      </c>
      <c r="K82" s="31">
        <v>11254</v>
      </c>
      <c r="L82" s="32">
        <v>9993</v>
      </c>
      <c r="M82" s="16">
        <v>2512</v>
      </c>
      <c r="N82" s="14">
        <v>0</v>
      </c>
      <c r="O82" s="13" t="s">
        <v>41</v>
      </c>
    </row>
    <row r="83" spans="2:15" ht="24" x14ac:dyDescent="0.15">
      <c r="B83" s="82"/>
      <c r="C83" s="22">
        <v>-0.67</v>
      </c>
      <c r="D83" s="22">
        <v>3.988</v>
      </c>
      <c r="E83" s="22">
        <v>4.0190000000000001</v>
      </c>
      <c r="F83" s="22">
        <v>5.218</v>
      </c>
      <c r="G83" s="22">
        <v>6.72</v>
      </c>
      <c r="H83" s="22">
        <v>4.508</v>
      </c>
      <c r="I83" s="22">
        <v>5.4770000000000003</v>
      </c>
      <c r="J83" s="22">
        <v>7.5789999999999997</v>
      </c>
      <c r="K83" s="22">
        <v>-3.806</v>
      </c>
      <c r="L83" s="22">
        <v>-2.0859999999999999</v>
      </c>
      <c r="M83" s="22">
        <v>-0.65400000000000003</v>
      </c>
      <c r="N83" s="22">
        <v>2.8559999999999999</v>
      </c>
      <c r="O83" s="13" t="s">
        <v>42</v>
      </c>
    </row>
    <row r="84" spans="2:15" ht="24" x14ac:dyDescent="0.15">
      <c r="B84" s="83"/>
      <c r="C84" s="23">
        <v>-0.84799999999999998</v>
      </c>
      <c r="D84" s="23">
        <v>3.7930000000000001</v>
      </c>
      <c r="E84" s="23">
        <v>3.855</v>
      </c>
      <c r="F84" s="23">
        <v>5.0430000000000001</v>
      </c>
      <c r="G84" s="23">
        <v>6.5389999999999997</v>
      </c>
      <c r="H84" s="23">
        <v>4.3029999999999999</v>
      </c>
      <c r="I84" s="23">
        <v>5.2930000000000001</v>
      </c>
      <c r="J84" s="23">
        <v>7.3940000000000001</v>
      </c>
      <c r="K84" s="23">
        <v>-3.9740000000000002</v>
      </c>
      <c r="L84" s="23">
        <v>-2.2480000000000002</v>
      </c>
      <c r="M84" s="23">
        <v>-0.83399999999999996</v>
      </c>
      <c r="N84" s="23">
        <v>2.74</v>
      </c>
      <c r="O84" s="13" t="s">
        <v>43</v>
      </c>
    </row>
    <row r="85" spans="2:15" ht="24" x14ac:dyDescent="0.15">
      <c r="B85" s="81" t="s">
        <v>49</v>
      </c>
      <c r="C85" s="24">
        <v>0.49</v>
      </c>
      <c r="D85" s="33">
        <v>0.55100000000000005</v>
      </c>
      <c r="E85" s="25">
        <v>0.55400000000000005</v>
      </c>
      <c r="F85" s="25">
        <v>0.55900000000000005</v>
      </c>
      <c r="G85" s="33">
        <v>0.54100000000000004</v>
      </c>
      <c r="H85" s="25">
        <v>0.55400000000000005</v>
      </c>
      <c r="I85" s="33">
        <v>0.53700000000000003</v>
      </c>
      <c r="J85" s="33">
        <v>0.54300000000000004</v>
      </c>
      <c r="K85" s="33">
        <v>0.54400000000000004</v>
      </c>
      <c r="L85" s="33">
        <v>0.52900000000000003</v>
      </c>
      <c r="M85" s="8">
        <v>0.36599999999999999</v>
      </c>
      <c r="N85" s="7">
        <v>8.5999999999999993E-2</v>
      </c>
      <c r="O85" s="13" t="s">
        <v>36</v>
      </c>
    </row>
    <row r="86" spans="2:15" ht="24" x14ac:dyDescent="0.15">
      <c r="B86" s="82"/>
      <c r="C86" s="28">
        <v>0.622</v>
      </c>
      <c r="D86" s="31">
        <v>0.53</v>
      </c>
      <c r="E86" s="31">
        <v>0.54</v>
      </c>
      <c r="F86" s="29">
        <v>0.54900000000000004</v>
      </c>
      <c r="G86" s="31">
        <v>0.52300000000000002</v>
      </c>
      <c r="H86" s="31">
        <v>0.53900000000000003</v>
      </c>
      <c r="I86" s="31">
        <v>0.51900000000000002</v>
      </c>
      <c r="J86" s="31">
        <v>0.54</v>
      </c>
      <c r="K86" s="29">
        <v>0.56899999999999995</v>
      </c>
      <c r="L86" s="29">
        <v>0.57999999999999996</v>
      </c>
      <c r="M86" s="32">
        <v>0.46500000000000002</v>
      </c>
      <c r="N86" s="14">
        <v>8.5000000000000006E-2</v>
      </c>
      <c r="O86" s="13" t="s">
        <v>37</v>
      </c>
    </row>
    <row r="87" spans="2:15" ht="24" x14ac:dyDescent="0.15">
      <c r="B87" s="82"/>
      <c r="C87" s="16">
        <v>-0.73299999999999998</v>
      </c>
      <c r="D87" s="30">
        <v>0.11600000000000001</v>
      </c>
      <c r="E87" s="21">
        <v>7.5999999999999998E-2</v>
      </c>
      <c r="F87" s="21">
        <v>5.2999999999999999E-2</v>
      </c>
      <c r="G87" s="30">
        <v>9.9000000000000005E-2</v>
      </c>
      <c r="H87" s="30">
        <v>8.4000000000000005E-2</v>
      </c>
      <c r="I87" s="30">
        <v>0.10299999999999999</v>
      </c>
      <c r="J87" s="21">
        <v>0.02</v>
      </c>
      <c r="K87" s="29">
        <v>-0.14000000000000001</v>
      </c>
      <c r="L87" s="32">
        <v>-0.28199999999999997</v>
      </c>
      <c r="M87" s="17">
        <v>-0.54900000000000004</v>
      </c>
      <c r="N87" s="20">
        <v>4.0000000000000001E-3</v>
      </c>
      <c r="O87" s="13" t="s">
        <v>38</v>
      </c>
    </row>
    <row r="88" spans="2:15" x14ac:dyDescent="0.15">
      <c r="B88" s="82"/>
      <c r="C88" s="32">
        <v>0.49399999999999999</v>
      </c>
      <c r="D88" s="29">
        <v>0.55700000000000005</v>
      </c>
      <c r="E88" s="29">
        <v>0.56200000000000006</v>
      </c>
      <c r="F88" s="29">
        <v>0.56799999999999995</v>
      </c>
      <c r="G88" s="29">
        <v>0.54800000000000004</v>
      </c>
      <c r="H88" s="29">
        <v>0.56100000000000005</v>
      </c>
      <c r="I88" s="29">
        <v>0.54600000000000004</v>
      </c>
      <c r="J88" s="29">
        <v>0.55100000000000005</v>
      </c>
      <c r="K88" s="29">
        <v>0.54800000000000004</v>
      </c>
      <c r="L88" s="31">
        <v>0.53500000000000003</v>
      </c>
      <c r="M88" s="15">
        <v>0.374</v>
      </c>
      <c r="N88" s="14">
        <v>8.5000000000000006E-2</v>
      </c>
      <c r="O88" s="13" t="s">
        <v>39</v>
      </c>
    </row>
    <row r="89" spans="2:15" x14ac:dyDescent="0.15">
      <c r="B89" s="82"/>
      <c r="C89" s="28">
        <v>0.624</v>
      </c>
      <c r="D89" s="31">
        <v>0.53300000000000003</v>
      </c>
      <c r="E89" s="29">
        <v>0.54500000000000004</v>
      </c>
      <c r="F89" s="29">
        <v>0.55200000000000005</v>
      </c>
      <c r="G89" s="31">
        <v>0.52500000000000002</v>
      </c>
      <c r="H89" s="31">
        <v>0.54</v>
      </c>
      <c r="I89" s="31">
        <v>0.52200000000000002</v>
      </c>
      <c r="J89" s="31">
        <v>0.54200000000000004</v>
      </c>
      <c r="K89" s="29">
        <v>0.56999999999999995</v>
      </c>
      <c r="L89" s="29">
        <v>0.58199999999999996</v>
      </c>
      <c r="M89" s="32">
        <v>0.46500000000000002</v>
      </c>
      <c r="N89" s="14">
        <v>8.5000000000000006E-2</v>
      </c>
      <c r="O89" s="13" t="s">
        <v>40</v>
      </c>
    </row>
    <row r="90" spans="2:15" ht="24" x14ac:dyDescent="0.15">
      <c r="B90" s="82"/>
      <c r="C90" s="16">
        <v>2225</v>
      </c>
      <c r="D90" s="30">
        <v>17185</v>
      </c>
      <c r="E90" s="30">
        <v>16627</v>
      </c>
      <c r="F90" s="30">
        <v>16536</v>
      </c>
      <c r="G90" s="30">
        <v>16869</v>
      </c>
      <c r="H90" s="30">
        <v>16529</v>
      </c>
      <c r="I90" s="30">
        <v>16864</v>
      </c>
      <c r="J90" s="21">
        <v>15314</v>
      </c>
      <c r="K90" s="31">
        <v>11143</v>
      </c>
      <c r="L90" s="32">
        <v>9939</v>
      </c>
      <c r="M90" s="16">
        <v>2419</v>
      </c>
      <c r="N90" s="14">
        <v>4</v>
      </c>
      <c r="O90" s="13" t="s">
        <v>41</v>
      </c>
    </row>
    <row r="91" spans="2:15" ht="24" x14ac:dyDescent="0.15">
      <c r="B91" s="82"/>
      <c r="C91" s="22">
        <v>-0.67300000000000004</v>
      </c>
      <c r="D91" s="22">
        <v>4.8010000000000002</v>
      </c>
      <c r="E91" s="22">
        <v>7.3840000000000003</v>
      </c>
      <c r="F91" s="22">
        <v>10.654</v>
      </c>
      <c r="G91" s="22">
        <v>5.5380000000000003</v>
      </c>
      <c r="H91" s="22">
        <v>6.6829999999999998</v>
      </c>
      <c r="I91" s="22">
        <v>5.2869999999999999</v>
      </c>
      <c r="J91" s="22">
        <v>27.57</v>
      </c>
      <c r="K91" s="22">
        <v>-3.9180000000000001</v>
      </c>
      <c r="L91" s="22">
        <v>-1.895</v>
      </c>
      <c r="M91" s="22">
        <v>-0.68</v>
      </c>
      <c r="N91" s="22">
        <v>21.728999999999999</v>
      </c>
      <c r="O91" s="13" t="s">
        <v>42</v>
      </c>
    </row>
    <row r="92" spans="2:15" ht="24" x14ac:dyDescent="0.15">
      <c r="B92" s="83"/>
      <c r="C92" s="23">
        <v>-0.85099999999999998</v>
      </c>
      <c r="D92" s="23">
        <v>4.5919999999999996</v>
      </c>
      <c r="E92" s="23">
        <v>7.1580000000000004</v>
      </c>
      <c r="F92" s="23">
        <v>10.353999999999999</v>
      </c>
      <c r="G92" s="23">
        <v>5.306</v>
      </c>
      <c r="H92" s="23">
        <v>6.4429999999999996</v>
      </c>
      <c r="I92" s="23">
        <v>5.048</v>
      </c>
      <c r="J92" s="23">
        <v>27.125</v>
      </c>
      <c r="K92" s="23">
        <v>-4.0679999999999996</v>
      </c>
      <c r="L92" s="23">
        <v>-2.0609999999999999</v>
      </c>
      <c r="M92" s="23">
        <v>-0.84499999999999997</v>
      </c>
      <c r="N92" s="23">
        <v>21.806000000000001</v>
      </c>
      <c r="O92" s="13" t="s">
        <v>43</v>
      </c>
    </row>
    <row r="93" spans="2:15" ht="24" x14ac:dyDescent="0.15">
      <c r="B93" s="81" t="s">
        <v>50</v>
      </c>
      <c r="C93" s="7">
        <v>8.5999999999999993E-2</v>
      </c>
      <c r="D93" s="7">
        <v>8.2000000000000003E-2</v>
      </c>
      <c r="E93" s="7">
        <v>8.3000000000000004E-2</v>
      </c>
      <c r="F93" s="7">
        <v>8.4000000000000005E-2</v>
      </c>
      <c r="G93" s="7">
        <v>8.7999999999999995E-2</v>
      </c>
      <c r="H93" s="7">
        <v>8.4000000000000005E-2</v>
      </c>
      <c r="I93" s="7">
        <v>9.1999999999999998E-2</v>
      </c>
      <c r="J93" s="7">
        <v>9.0999999999999998E-2</v>
      </c>
      <c r="K93" s="7">
        <v>8.6999999999999994E-2</v>
      </c>
      <c r="L93" s="7">
        <v>9.0999999999999998E-2</v>
      </c>
      <c r="M93" s="7">
        <v>8.5000000000000006E-2</v>
      </c>
      <c r="N93" s="7">
        <v>8.5999999999999993E-2</v>
      </c>
      <c r="O93" s="13" t="s">
        <v>36</v>
      </c>
    </row>
    <row r="94" spans="2:15" ht="24" x14ac:dyDescent="0.15">
      <c r="B94" s="82"/>
      <c r="C94" s="14">
        <v>8.5999999999999993E-2</v>
      </c>
      <c r="D94" s="14">
        <v>8.2000000000000003E-2</v>
      </c>
      <c r="E94" s="14">
        <v>8.2000000000000003E-2</v>
      </c>
      <c r="F94" s="14">
        <v>8.3000000000000004E-2</v>
      </c>
      <c r="G94" s="14">
        <v>8.6999999999999994E-2</v>
      </c>
      <c r="H94" s="14">
        <v>8.3000000000000004E-2</v>
      </c>
      <c r="I94" s="14">
        <v>9.1999999999999998E-2</v>
      </c>
      <c r="J94" s="14">
        <v>0.09</v>
      </c>
      <c r="K94" s="14">
        <v>8.7999999999999995E-2</v>
      </c>
      <c r="L94" s="14">
        <v>9.0999999999999998E-2</v>
      </c>
      <c r="M94" s="14">
        <v>8.4000000000000005E-2</v>
      </c>
      <c r="N94" s="14">
        <v>8.5000000000000006E-2</v>
      </c>
      <c r="O94" s="13" t="s">
        <v>37</v>
      </c>
    </row>
    <row r="95" spans="2:15" ht="24" x14ac:dyDescent="0.15">
      <c r="B95" s="82"/>
      <c r="C95" s="20">
        <v>2E-3</v>
      </c>
      <c r="D95" s="20">
        <v>4.0000000000000001E-3</v>
      </c>
      <c r="E95" s="20">
        <v>3.0000000000000001E-3</v>
      </c>
      <c r="F95" s="20">
        <v>4.0000000000000001E-3</v>
      </c>
      <c r="G95" s="20">
        <v>6.0000000000000001E-3</v>
      </c>
      <c r="H95" s="20">
        <v>1E-3</v>
      </c>
      <c r="I95" s="20">
        <v>2E-3</v>
      </c>
      <c r="J95" s="20">
        <v>6.0000000000000001E-3</v>
      </c>
      <c r="K95" s="20">
        <v>-2E-3</v>
      </c>
      <c r="L95" s="20">
        <v>4.0000000000000001E-3</v>
      </c>
      <c r="M95" s="20">
        <v>2E-3</v>
      </c>
      <c r="N95" s="20">
        <v>7.0000000000000001E-3</v>
      </c>
      <c r="O95" s="13" t="s">
        <v>38</v>
      </c>
    </row>
    <row r="96" spans="2:15" x14ac:dyDescent="0.15">
      <c r="B96" s="82"/>
      <c r="C96" s="14">
        <v>8.5999999999999993E-2</v>
      </c>
      <c r="D96" s="14">
        <v>8.2000000000000003E-2</v>
      </c>
      <c r="E96" s="14">
        <v>8.3000000000000004E-2</v>
      </c>
      <c r="F96" s="14">
        <v>8.4000000000000005E-2</v>
      </c>
      <c r="G96" s="14">
        <v>8.7999999999999995E-2</v>
      </c>
      <c r="H96" s="14">
        <v>8.4000000000000005E-2</v>
      </c>
      <c r="I96" s="14">
        <v>9.1999999999999998E-2</v>
      </c>
      <c r="J96" s="14">
        <v>9.0999999999999998E-2</v>
      </c>
      <c r="K96" s="14">
        <v>8.7999999999999995E-2</v>
      </c>
      <c r="L96" s="14">
        <v>9.0999999999999998E-2</v>
      </c>
      <c r="M96" s="14">
        <v>8.5000000000000006E-2</v>
      </c>
      <c r="N96" s="14">
        <v>8.5000000000000006E-2</v>
      </c>
      <c r="O96" s="13" t="s">
        <v>39</v>
      </c>
    </row>
    <row r="97" spans="2:15" x14ac:dyDescent="0.15">
      <c r="B97" s="82"/>
      <c r="C97" s="14">
        <v>8.5999999999999993E-2</v>
      </c>
      <c r="D97" s="14">
        <v>8.1000000000000003E-2</v>
      </c>
      <c r="E97" s="14">
        <v>8.2000000000000003E-2</v>
      </c>
      <c r="F97" s="14">
        <v>8.3000000000000004E-2</v>
      </c>
      <c r="G97" s="14">
        <v>8.6999999999999994E-2</v>
      </c>
      <c r="H97" s="14">
        <v>8.4000000000000005E-2</v>
      </c>
      <c r="I97" s="14">
        <v>9.1999999999999998E-2</v>
      </c>
      <c r="J97" s="14">
        <v>0.09</v>
      </c>
      <c r="K97" s="14">
        <v>8.7999999999999995E-2</v>
      </c>
      <c r="L97" s="14">
        <v>9.0999999999999998E-2</v>
      </c>
      <c r="M97" s="14">
        <v>8.4000000000000005E-2</v>
      </c>
      <c r="N97" s="14">
        <v>8.4000000000000005E-2</v>
      </c>
      <c r="O97" s="13" t="s">
        <v>40</v>
      </c>
    </row>
    <row r="98" spans="2:15" ht="24" x14ac:dyDescent="0.15">
      <c r="B98" s="82"/>
      <c r="C98" s="14">
        <v>5</v>
      </c>
      <c r="D98" s="14">
        <v>14</v>
      </c>
      <c r="E98" s="14">
        <v>0</v>
      </c>
      <c r="F98" s="14">
        <v>8</v>
      </c>
      <c r="G98" s="14">
        <v>3</v>
      </c>
      <c r="H98" s="14">
        <v>20</v>
      </c>
      <c r="I98" s="14">
        <v>4</v>
      </c>
      <c r="J98" s="14">
        <v>0</v>
      </c>
      <c r="K98" s="14">
        <v>12</v>
      </c>
      <c r="L98" s="14">
        <v>0</v>
      </c>
      <c r="M98" s="14">
        <v>0</v>
      </c>
      <c r="N98" s="14">
        <v>6</v>
      </c>
      <c r="O98" s="13" t="s">
        <v>41</v>
      </c>
    </row>
    <row r="99" spans="2:15" ht="24" x14ac:dyDescent="0.15">
      <c r="B99" s="82"/>
      <c r="C99" s="22">
        <v>51.6</v>
      </c>
      <c r="D99" s="22">
        <v>21.085999999999999</v>
      </c>
      <c r="E99" s="22">
        <v>24.9</v>
      </c>
      <c r="F99" s="22">
        <v>18.922000000000001</v>
      </c>
      <c r="G99" s="22">
        <v>14.481999999999999</v>
      </c>
      <c r="H99" s="22">
        <v>150.84</v>
      </c>
      <c r="I99" s="22">
        <v>41.625</v>
      </c>
      <c r="J99" s="22">
        <v>16.452000000000002</v>
      </c>
      <c r="K99" s="22">
        <v>-39.825000000000003</v>
      </c>
      <c r="L99" s="22">
        <v>20.588000000000001</v>
      </c>
      <c r="M99" s="22">
        <v>38.024999999999999</v>
      </c>
      <c r="N99" s="22">
        <v>11.742000000000001</v>
      </c>
      <c r="O99" s="13" t="s">
        <v>42</v>
      </c>
    </row>
    <row r="100" spans="2:15" ht="24" x14ac:dyDescent="0.15">
      <c r="B100" s="83"/>
      <c r="C100" s="23">
        <v>51.66</v>
      </c>
      <c r="D100" s="23">
        <v>20.931000000000001</v>
      </c>
      <c r="E100" s="23">
        <v>24.72</v>
      </c>
      <c r="F100" s="23">
        <v>18.675000000000001</v>
      </c>
      <c r="G100" s="23">
        <v>14.269</v>
      </c>
      <c r="H100" s="23">
        <v>150.47999999999999</v>
      </c>
      <c r="I100" s="23">
        <v>41.354999999999997</v>
      </c>
      <c r="J100" s="23">
        <v>16.146000000000001</v>
      </c>
      <c r="K100" s="23">
        <v>-39.6</v>
      </c>
      <c r="L100" s="23">
        <v>20.385000000000002</v>
      </c>
      <c r="M100" s="23">
        <v>37.844999999999999</v>
      </c>
      <c r="N100" s="23">
        <v>11.631</v>
      </c>
      <c r="O100" s="13" t="s">
        <v>43</v>
      </c>
    </row>
  </sheetData>
  <sheetProtection algorithmName="SHA-512" hashValue="EuRzqF1hpar/VYRbDgIUyXTs/nQS0HOdSdyi6n7u/gsD/eg7v2pNlEMyj2aZ9uxIBTzC0/GlmccKMmeirqhAdA==" saltValue="M0joMRNblpPuTFvXXZjttw==" spinCount="100000" sheet="1"/>
  <mergeCells count="8">
    <mergeCell ref="B85:B92"/>
    <mergeCell ref="B93:B100"/>
    <mergeCell ref="B37:B44"/>
    <mergeCell ref="B45:B52"/>
    <mergeCell ref="B53:B60"/>
    <mergeCell ref="B61:B68"/>
    <mergeCell ref="B69:B76"/>
    <mergeCell ref="B77:B84"/>
  </mergeCells>
  <phoneticPr fontId="0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tabSelected="1" workbookViewId="0">
      <selection activeCell="D32" sqref="D32"/>
    </sheetView>
  </sheetViews>
  <sheetFormatPr baseColWidth="10" defaultColWidth="8.83203125" defaultRowHeight="13" x14ac:dyDescent="0.15"/>
  <sheetData>
    <row r="1" spans="1:13" x14ac:dyDescent="0.15">
      <c r="C1" s="84" t="s">
        <v>51</v>
      </c>
      <c r="D1" s="84"/>
      <c r="E1" s="84"/>
      <c r="F1" s="84"/>
      <c r="G1" s="84"/>
      <c r="H1" s="84"/>
      <c r="I1" s="84"/>
      <c r="J1" s="84"/>
      <c r="K1" s="84"/>
    </row>
    <row r="2" spans="1:13" ht="14" x14ac:dyDescent="0.15">
      <c r="A2" s="5"/>
      <c r="B2" s="6" t="s">
        <v>52</v>
      </c>
      <c r="C2" s="35">
        <v>0</v>
      </c>
      <c r="D2" s="36">
        <f t="shared" ref="D2:J2" si="0">E2/2</f>
        <v>3.90625</v>
      </c>
      <c r="E2" s="36">
        <f t="shared" si="0"/>
        <v>7.8125</v>
      </c>
      <c r="F2" s="36">
        <f t="shared" si="0"/>
        <v>15.625</v>
      </c>
      <c r="G2" s="35">
        <f t="shared" si="0"/>
        <v>31.25</v>
      </c>
      <c r="H2" s="35">
        <f t="shared" si="0"/>
        <v>62.5</v>
      </c>
      <c r="I2" s="35">
        <f t="shared" si="0"/>
        <v>125</v>
      </c>
      <c r="J2" s="35">
        <f t="shared" si="0"/>
        <v>250</v>
      </c>
      <c r="K2" s="35">
        <v>500</v>
      </c>
      <c r="L2" s="37" t="s">
        <v>53</v>
      </c>
    </row>
    <row r="3" spans="1:13" ht="24" x14ac:dyDescent="0.15">
      <c r="A3" s="6" t="s">
        <v>44</v>
      </c>
      <c r="B3" s="38">
        <v>1931</v>
      </c>
      <c r="C3" s="39">
        <v>13894</v>
      </c>
      <c r="D3" s="39">
        <v>13380</v>
      </c>
      <c r="E3" s="40">
        <v>15663</v>
      </c>
      <c r="F3" s="40">
        <v>15311</v>
      </c>
      <c r="G3" s="39">
        <v>13767</v>
      </c>
      <c r="H3" s="41">
        <v>12362</v>
      </c>
      <c r="I3" s="39">
        <v>13398</v>
      </c>
      <c r="J3" s="41">
        <v>12519</v>
      </c>
      <c r="K3" s="42">
        <v>9975</v>
      </c>
      <c r="L3" s="43">
        <v>1764</v>
      </c>
      <c r="M3" s="13" t="s">
        <v>41</v>
      </c>
    </row>
    <row r="4" spans="1:13" ht="24" x14ac:dyDescent="0.15">
      <c r="A4" s="6" t="s">
        <v>45</v>
      </c>
      <c r="B4" s="38">
        <v>1967</v>
      </c>
      <c r="C4" s="44">
        <v>17082</v>
      </c>
      <c r="D4" s="40">
        <v>15796</v>
      </c>
      <c r="E4" s="44">
        <v>17220</v>
      </c>
      <c r="F4" s="44">
        <v>16778</v>
      </c>
      <c r="G4" s="45">
        <v>14859</v>
      </c>
      <c r="H4" s="41">
        <v>11785</v>
      </c>
      <c r="I4" s="39">
        <v>12751</v>
      </c>
      <c r="J4" s="41">
        <v>12487</v>
      </c>
      <c r="K4" s="42">
        <v>9058</v>
      </c>
      <c r="L4" s="38">
        <v>2445</v>
      </c>
      <c r="M4" s="13" t="s">
        <v>41</v>
      </c>
    </row>
    <row r="5" spans="1:13" ht="24" x14ac:dyDescent="0.15">
      <c r="A5" s="6" t="s">
        <v>46</v>
      </c>
      <c r="B5" s="38">
        <v>2239</v>
      </c>
      <c r="C5" s="44">
        <v>17102</v>
      </c>
      <c r="D5" s="44">
        <v>17166</v>
      </c>
      <c r="E5" s="44">
        <v>16717</v>
      </c>
      <c r="F5" s="40">
        <v>16279</v>
      </c>
      <c r="G5" s="45">
        <v>13945</v>
      </c>
      <c r="H5" s="45">
        <v>14051</v>
      </c>
      <c r="I5" s="45">
        <v>14166</v>
      </c>
      <c r="J5" s="41">
        <v>11791</v>
      </c>
      <c r="K5" s="42">
        <v>9912</v>
      </c>
      <c r="L5" s="38">
        <v>2405</v>
      </c>
      <c r="M5" s="13" t="s">
        <v>41</v>
      </c>
    </row>
    <row r="6" spans="1:13" ht="14" x14ac:dyDescent="0.15">
      <c r="A6" s="46" t="s">
        <v>54</v>
      </c>
      <c r="B6" s="47">
        <f>AVERAGE(B3:B5)</f>
        <v>2045.6666666666667</v>
      </c>
      <c r="C6" s="47">
        <f>AVERAGE(C3:C5)</f>
        <v>16026</v>
      </c>
      <c r="D6" s="47">
        <f t="shared" ref="D6:K6" si="1">AVERAGE(D3:D5)</f>
        <v>15447.333333333334</v>
      </c>
      <c r="E6" s="47">
        <f t="shared" si="1"/>
        <v>16533.333333333332</v>
      </c>
      <c r="F6" s="47">
        <f t="shared" si="1"/>
        <v>16122.666666666666</v>
      </c>
      <c r="G6" s="47">
        <f t="shared" si="1"/>
        <v>14190.333333333334</v>
      </c>
      <c r="H6" s="47">
        <f t="shared" si="1"/>
        <v>12732.666666666666</v>
      </c>
      <c r="I6" s="47">
        <f t="shared" si="1"/>
        <v>13438.333333333334</v>
      </c>
      <c r="J6" s="47">
        <f>AVERAGE(J3:J5)</f>
        <v>12265.666666666666</v>
      </c>
      <c r="K6" s="47">
        <f t="shared" si="1"/>
        <v>9648.3333333333339</v>
      </c>
      <c r="L6" s="47">
        <f>AVERAGE(L4:L5)</f>
        <v>2425</v>
      </c>
      <c r="M6" s="85"/>
    </row>
    <row r="7" spans="1:13" ht="14" x14ac:dyDescent="0.15">
      <c r="A7" s="46" t="s">
        <v>55</v>
      </c>
      <c r="B7" s="47">
        <f>STDEV(B3:B5)</f>
        <v>168.39635783868169</v>
      </c>
      <c r="C7" s="47">
        <f t="shared" ref="C7:K7" si="2">STDEV(C3:C5)</f>
        <v>1846.3932408888415</v>
      </c>
      <c r="D7" s="47">
        <f t="shared" si="2"/>
        <v>1916.9312281178252</v>
      </c>
      <c r="E7" s="47">
        <f t="shared" si="2"/>
        <v>794.58311920989956</v>
      </c>
      <c r="F7" s="47">
        <f t="shared" si="2"/>
        <v>745.89029577635165</v>
      </c>
      <c r="G7" s="47">
        <f t="shared" si="2"/>
        <v>585.88167178478398</v>
      </c>
      <c r="H7" s="47">
        <f t="shared" si="2"/>
        <v>1177.5968466896186</v>
      </c>
      <c r="I7" s="47">
        <f t="shared" si="2"/>
        <v>708.36172492119681</v>
      </c>
      <c r="J7" s="47">
        <f t="shared" si="2"/>
        <v>411.38465374067289</v>
      </c>
      <c r="K7" s="47">
        <f t="shared" si="2"/>
        <v>512.21317176868195</v>
      </c>
      <c r="L7" s="47">
        <f>STDEV(L4:L5)</f>
        <v>28.284271247461902</v>
      </c>
      <c r="M7" s="85"/>
    </row>
    <row r="8" spans="1:13" ht="14" x14ac:dyDescent="0.15">
      <c r="A8" s="46" t="s">
        <v>56</v>
      </c>
      <c r="B8" s="47">
        <f>B7/B6*100</f>
        <v>8.2318571535936957</v>
      </c>
      <c r="C8" s="47">
        <f t="shared" ref="C8:K8" si="3">C7/C6*100</f>
        <v>11.521235747465628</v>
      </c>
      <c r="D8" s="47">
        <f t="shared" si="3"/>
        <v>12.409463735603719</v>
      </c>
      <c r="E8" s="47">
        <f t="shared" si="3"/>
        <v>4.8059462855437474</v>
      </c>
      <c r="F8" s="47">
        <f t="shared" si="3"/>
        <v>4.6263456982489561</v>
      </c>
      <c r="G8" s="47">
        <f t="shared" si="3"/>
        <v>4.1287379092676986</v>
      </c>
      <c r="H8" s="47">
        <f t="shared" si="3"/>
        <v>9.2486269963580714</v>
      </c>
      <c r="I8" s="47">
        <f t="shared" si="3"/>
        <v>5.2712022194309576</v>
      </c>
      <c r="J8" s="47">
        <f t="shared" si="3"/>
        <v>3.3539526625051463</v>
      </c>
      <c r="K8" s="47">
        <f t="shared" si="3"/>
        <v>5.3088254113181748</v>
      </c>
      <c r="L8" s="47">
        <f>L7/L6*100</f>
        <v>1.1663617009262641</v>
      </c>
      <c r="M8" s="48"/>
    </row>
    <row r="10" spans="1:13" x14ac:dyDescent="0.15">
      <c r="B10" s="86" t="s">
        <v>57</v>
      </c>
      <c r="C10" s="47">
        <f t="shared" ref="C10:L12" si="4">(C3-$B$6)/($C$6-$B$6)*100</f>
        <v>84.750005960754393</v>
      </c>
      <c r="D10" s="47">
        <f t="shared" si="4"/>
        <v>81.07341265110513</v>
      </c>
      <c r="E10" s="47">
        <f t="shared" si="4"/>
        <v>97.403495386376107</v>
      </c>
      <c r="F10" s="47">
        <f t="shared" si="4"/>
        <v>94.885672730740794</v>
      </c>
      <c r="G10" s="47">
        <f t="shared" si="4"/>
        <v>83.841586991249613</v>
      </c>
      <c r="H10" s="47">
        <f t="shared" si="4"/>
        <v>73.791755084523501</v>
      </c>
      <c r="I10" s="47">
        <f t="shared" si="4"/>
        <v>81.202164945995577</v>
      </c>
      <c r="J10" s="47">
        <f t="shared" si="4"/>
        <v>74.914761212179016</v>
      </c>
      <c r="K10" s="47">
        <f t="shared" si="4"/>
        <v>56.717770200996632</v>
      </c>
      <c r="L10" s="49">
        <f t="shared" si="4"/>
        <v>-2.0147349848596843</v>
      </c>
    </row>
    <row r="11" spans="1:13" x14ac:dyDescent="0.15">
      <c r="B11" s="86"/>
      <c r="C11" s="47">
        <f t="shared" si="4"/>
        <v>107.55346796690588</v>
      </c>
      <c r="D11" s="47">
        <f t="shared" si="4"/>
        <v>98.354831787511031</v>
      </c>
      <c r="E11" s="47">
        <f t="shared" si="4"/>
        <v>108.54056889439927</v>
      </c>
      <c r="F11" s="47">
        <f t="shared" si="4"/>
        <v>105.37898476431178</v>
      </c>
      <c r="G11" s="47">
        <f t="shared" si="4"/>
        <v>91.652559547936391</v>
      </c>
      <c r="H11" s="47">
        <f t="shared" si="4"/>
        <v>69.664528742757682</v>
      </c>
      <c r="I11" s="47">
        <f t="shared" si="4"/>
        <v>76.574235235211376</v>
      </c>
      <c r="J11" s="47">
        <f t="shared" si="4"/>
        <v>74.685868243484904</v>
      </c>
      <c r="K11" s="47">
        <f t="shared" si="4"/>
        <v>50.158556066855823</v>
      </c>
      <c r="L11" s="47">
        <f t="shared" si="4"/>
        <v>2.8563935051620128</v>
      </c>
    </row>
    <row r="12" spans="1:13" x14ac:dyDescent="0.15">
      <c r="B12" s="86"/>
      <c r="C12" s="47">
        <f t="shared" si="4"/>
        <v>107.69652607233971</v>
      </c>
      <c r="D12" s="47">
        <f t="shared" si="4"/>
        <v>108.15431200972796</v>
      </c>
      <c r="E12" s="47">
        <f t="shared" si="4"/>
        <v>104.94265754273862</v>
      </c>
      <c r="F12" s="47">
        <f t="shared" si="4"/>
        <v>101.80968503373786</v>
      </c>
      <c r="G12" s="47">
        <f t="shared" si="4"/>
        <v>85.114804129610647</v>
      </c>
      <c r="H12" s="47">
        <f t="shared" si="4"/>
        <v>85.873012088409908</v>
      </c>
      <c r="I12" s="47">
        <f t="shared" si="4"/>
        <v>86.695596194654399</v>
      </c>
      <c r="J12" s="47">
        <f t="shared" si="4"/>
        <v>69.707446174387826</v>
      </c>
      <c r="K12" s="47">
        <f t="shared" si="4"/>
        <v>56.26713716888009</v>
      </c>
      <c r="L12" s="47">
        <f t="shared" si="4"/>
        <v>2.5702772942943652</v>
      </c>
      <c r="M12" s="50"/>
    </row>
    <row r="13" spans="1:13" ht="14" x14ac:dyDescent="0.15">
      <c r="B13" s="51" t="s">
        <v>54</v>
      </c>
      <c r="C13" s="52">
        <f t="shared" ref="C13:K13" si="5">AVERAGE(C10:C12)</f>
        <v>100</v>
      </c>
      <c r="D13" s="52">
        <f t="shared" si="5"/>
        <v>95.860852149448036</v>
      </c>
      <c r="E13" s="52">
        <f t="shared" si="5"/>
        <v>103.62890727450467</v>
      </c>
      <c r="F13" s="52">
        <f t="shared" si="5"/>
        <v>100.69144750959681</v>
      </c>
      <c r="G13" s="52">
        <f t="shared" si="5"/>
        <v>86.869650222932208</v>
      </c>
      <c r="H13" s="52">
        <f t="shared" si="5"/>
        <v>76.443098638563697</v>
      </c>
      <c r="I13" s="52">
        <f t="shared" si="5"/>
        <v>81.490665458620455</v>
      </c>
      <c r="J13" s="52">
        <f t="shared" si="5"/>
        <v>73.10269187668392</v>
      </c>
      <c r="K13" s="52">
        <f t="shared" si="5"/>
        <v>54.381154478910844</v>
      </c>
      <c r="L13" s="52">
        <f>AVERAGE(L11:L12)</f>
        <v>2.713335399728189</v>
      </c>
      <c r="M13" s="53"/>
    </row>
    <row r="14" spans="1:13" ht="14" x14ac:dyDescent="0.15">
      <c r="B14" s="46" t="s">
        <v>55</v>
      </c>
      <c r="C14" s="47">
        <f t="shared" ref="C14:K14" si="6">STDEV(C10:C12)</f>
        <v>13.207075946368695</v>
      </c>
      <c r="D14" s="47">
        <f t="shared" si="6"/>
        <v>13.711627487073514</v>
      </c>
      <c r="E14" s="47">
        <f t="shared" si="6"/>
        <v>5.6835777821933107</v>
      </c>
      <c r="F14" s="47">
        <f t="shared" si="6"/>
        <v>5.3352826287619717</v>
      </c>
      <c r="G14" s="47">
        <f t="shared" si="6"/>
        <v>4.1907560986966272</v>
      </c>
      <c r="H14" s="47">
        <f t="shared" si="6"/>
        <v>8.4232386926130882</v>
      </c>
      <c r="I14" s="47">
        <f t="shared" si="6"/>
        <v>5.0668443164530883</v>
      </c>
      <c r="J14" s="47">
        <f t="shared" si="6"/>
        <v>2.9425954584345178</v>
      </c>
      <c r="K14" s="47">
        <f t="shared" si="6"/>
        <v>3.6638122965738646</v>
      </c>
      <c r="L14" s="47">
        <f>STDEV(L11:L12)</f>
        <v>0.2023147129119138</v>
      </c>
      <c r="M14" s="53"/>
    </row>
    <row r="15" spans="1:13" ht="14" x14ac:dyDescent="0.15">
      <c r="B15" s="46" t="s">
        <v>56</v>
      </c>
      <c r="C15" s="47">
        <f t="shared" ref="C15:L15" si="7">C14/C13*100</f>
        <v>13.207075946368697</v>
      </c>
      <c r="D15" s="47">
        <f t="shared" si="7"/>
        <v>14.303677861841816</v>
      </c>
      <c r="E15" s="47">
        <f t="shared" si="7"/>
        <v>5.4845485991065877</v>
      </c>
      <c r="F15" s="47">
        <f t="shared" si="7"/>
        <v>5.2986452779452495</v>
      </c>
      <c r="G15" s="47">
        <f t="shared" si="7"/>
        <v>4.8241889865355239</v>
      </c>
      <c r="H15" s="47">
        <f t="shared" si="7"/>
        <v>11.018965534664718</v>
      </c>
      <c r="I15" s="47">
        <f t="shared" si="7"/>
        <v>6.2176990308490536</v>
      </c>
      <c r="J15" s="47">
        <f t="shared" si="7"/>
        <v>4.0252901540183332</v>
      </c>
      <c r="K15" s="47">
        <f t="shared" si="7"/>
        <v>6.7372830379956365</v>
      </c>
      <c r="L15" s="54">
        <f t="shared" si="7"/>
        <v>7.456310522178013</v>
      </c>
      <c r="M15" s="55"/>
    </row>
    <row r="17" spans="8:13" x14ac:dyDescent="0.15">
      <c r="H17" s="56" t="s">
        <v>58</v>
      </c>
      <c r="L17" s="57"/>
      <c r="M17" s="57"/>
    </row>
    <row r="18" spans="8:13" x14ac:dyDescent="0.15">
      <c r="L18" s="57"/>
      <c r="M18" s="57"/>
    </row>
  </sheetData>
  <mergeCells count="3">
    <mergeCell ref="C1:K1"/>
    <mergeCell ref="M6:M7"/>
    <mergeCell ref="B10:B12"/>
  </mergeCells>
  <pageMargins left="0.7" right="0.7" top="0.75" bottom="0.75" header="0.3" footer="0.3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E85A-3141-354F-A33E-11EAA40519DC}">
  <dimension ref="A1:M25"/>
  <sheetViews>
    <sheetView workbookViewId="0">
      <selection activeCell="O12" sqref="O12"/>
    </sheetView>
  </sheetViews>
  <sheetFormatPr baseColWidth="10" defaultRowHeight="13" x14ac:dyDescent="0.15"/>
  <cols>
    <col min="1" max="13" width="9.33203125" customWidth="1"/>
  </cols>
  <sheetData>
    <row r="1" spans="1:13" x14ac:dyDescent="0.15">
      <c r="C1" s="84" t="s">
        <v>51</v>
      </c>
      <c r="D1" s="84"/>
      <c r="E1" s="84"/>
      <c r="F1" s="84"/>
      <c r="G1" s="84"/>
      <c r="H1" s="84"/>
      <c r="I1" s="84"/>
      <c r="J1" s="84"/>
      <c r="K1" s="84"/>
    </row>
    <row r="2" spans="1:13" ht="14" x14ac:dyDescent="0.15">
      <c r="A2" s="5"/>
      <c r="B2" s="58" t="s">
        <v>52</v>
      </c>
      <c r="C2" s="35">
        <v>0</v>
      </c>
      <c r="D2" s="36">
        <f t="shared" ref="D2:J2" si="0">E2/2</f>
        <v>3.90625</v>
      </c>
      <c r="E2" s="36">
        <f t="shared" si="0"/>
        <v>7.8125</v>
      </c>
      <c r="F2" s="36">
        <f t="shared" si="0"/>
        <v>15.625</v>
      </c>
      <c r="G2" s="35">
        <f t="shared" si="0"/>
        <v>31.25</v>
      </c>
      <c r="H2" s="35">
        <f t="shared" si="0"/>
        <v>62.5</v>
      </c>
      <c r="I2" s="35">
        <f t="shared" si="0"/>
        <v>125</v>
      </c>
      <c r="J2" s="35">
        <f t="shared" si="0"/>
        <v>250</v>
      </c>
      <c r="K2" s="35">
        <v>500</v>
      </c>
      <c r="L2" s="59" t="s">
        <v>53</v>
      </c>
    </row>
    <row r="3" spans="1:13" ht="14" x14ac:dyDescent="0.15">
      <c r="A3" s="6" t="s">
        <v>44</v>
      </c>
      <c r="B3" s="33">
        <v>0.498</v>
      </c>
      <c r="C3" s="25">
        <v>0.56699999999999995</v>
      </c>
      <c r="D3" s="25">
        <v>0.57999999999999996</v>
      </c>
      <c r="E3" s="26">
        <v>0.61599999999999999</v>
      </c>
      <c r="F3" s="26">
        <v>0.59899999999999998</v>
      </c>
      <c r="G3" s="27">
        <v>0.67700000000000005</v>
      </c>
      <c r="H3" s="27">
        <v>0.67800000000000005</v>
      </c>
      <c r="I3" s="26">
        <v>0.64300000000000002</v>
      </c>
      <c r="J3" s="26">
        <v>0.626</v>
      </c>
      <c r="K3" s="26">
        <v>0.62</v>
      </c>
      <c r="L3" s="33">
        <v>0.501</v>
      </c>
      <c r="M3" s="13" t="s">
        <v>39</v>
      </c>
    </row>
    <row r="4" spans="1:13" ht="14" x14ac:dyDescent="0.15">
      <c r="A4" s="6" t="s">
        <v>45</v>
      </c>
      <c r="B4" s="60">
        <v>0.504</v>
      </c>
      <c r="C4" s="61">
        <v>0.59599999999999997</v>
      </c>
      <c r="D4" s="61">
        <v>0.57399999999999995</v>
      </c>
      <c r="E4" s="61">
        <v>0.58899999999999997</v>
      </c>
      <c r="F4" s="61">
        <v>0.57899999999999996</v>
      </c>
      <c r="G4" s="62">
        <v>0.64100000000000001</v>
      </c>
      <c r="H4" s="63">
        <v>0.69399999999999995</v>
      </c>
      <c r="I4" s="63">
        <v>0.66200000000000003</v>
      </c>
      <c r="J4" s="63">
        <v>0.67200000000000004</v>
      </c>
      <c r="K4" s="62">
        <v>0.63400000000000001</v>
      </c>
      <c r="L4" s="64">
        <v>0.375</v>
      </c>
      <c r="M4" s="13" t="s">
        <v>39</v>
      </c>
    </row>
    <row r="5" spans="1:13" ht="14" x14ac:dyDescent="0.15">
      <c r="A5" s="6" t="s">
        <v>46</v>
      </c>
      <c r="B5" s="60">
        <v>0.52100000000000002</v>
      </c>
      <c r="C5" s="61">
        <v>0.59699999999999998</v>
      </c>
      <c r="D5" s="62">
        <v>0.60199999999999998</v>
      </c>
      <c r="E5" s="61">
        <v>0.58199999999999996</v>
      </c>
      <c r="F5" s="61">
        <v>0.57899999999999996</v>
      </c>
      <c r="G5" s="62">
        <v>0.61799999999999999</v>
      </c>
      <c r="H5" s="61">
        <v>0.59699999999999998</v>
      </c>
      <c r="I5" s="62">
        <v>0.63200000000000001</v>
      </c>
      <c r="J5" s="62">
        <v>0.629</v>
      </c>
      <c r="K5" s="62">
        <v>0.61299999999999999</v>
      </c>
      <c r="L5" s="64">
        <v>0.372</v>
      </c>
      <c r="M5" s="13" t="s">
        <v>39</v>
      </c>
    </row>
    <row r="7" spans="1:13" ht="14" x14ac:dyDescent="0.15">
      <c r="A7" s="5"/>
      <c r="B7" s="58" t="s">
        <v>52</v>
      </c>
      <c r="C7" s="35">
        <v>0</v>
      </c>
      <c r="D7" s="36">
        <f t="shared" ref="D7:J7" si="1">E7/2</f>
        <v>3.90625</v>
      </c>
      <c r="E7" s="36">
        <f t="shared" si="1"/>
        <v>7.8125</v>
      </c>
      <c r="F7" s="36">
        <f t="shared" si="1"/>
        <v>15.625</v>
      </c>
      <c r="G7" s="35">
        <f t="shared" si="1"/>
        <v>31.25</v>
      </c>
      <c r="H7" s="35">
        <f t="shared" si="1"/>
        <v>62.5</v>
      </c>
      <c r="I7" s="35">
        <f t="shared" si="1"/>
        <v>125</v>
      </c>
      <c r="J7" s="35">
        <f t="shared" si="1"/>
        <v>250</v>
      </c>
      <c r="K7" s="35">
        <v>500</v>
      </c>
      <c r="L7" s="59" t="s">
        <v>53</v>
      </c>
    </row>
    <row r="8" spans="1:13" ht="14" x14ac:dyDescent="0.15">
      <c r="A8" s="6" t="s">
        <v>44</v>
      </c>
      <c r="B8" s="39">
        <v>0.63100000000000001</v>
      </c>
      <c r="C8" s="41">
        <v>0.54600000000000004</v>
      </c>
      <c r="D8" s="41">
        <v>0.56100000000000005</v>
      </c>
      <c r="E8" s="39">
        <v>0.59699999999999998</v>
      </c>
      <c r="F8" s="41">
        <v>0.58699999999999997</v>
      </c>
      <c r="G8" s="45">
        <v>0.65800000000000003</v>
      </c>
      <c r="H8" s="45">
        <v>0.65300000000000002</v>
      </c>
      <c r="I8" s="39">
        <v>0.627</v>
      </c>
      <c r="J8" s="39">
        <v>0.629</v>
      </c>
      <c r="K8" s="45">
        <v>0.65600000000000003</v>
      </c>
      <c r="L8" s="39">
        <v>0.64600000000000002</v>
      </c>
      <c r="M8" s="13" t="s">
        <v>40</v>
      </c>
    </row>
    <row r="9" spans="1:13" ht="14" x14ac:dyDescent="0.15">
      <c r="A9" s="6" t="s">
        <v>45</v>
      </c>
      <c r="B9" s="39">
        <v>0.63800000000000001</v>
      </c>
      <c r="C9" s="41">
        <v>0.57399999999999995</v>
      </c>
      <c r="D9" s="41">
        <v>0.56100000000000005</v>
      </c>
      <c r="E9" s="41">
        <v>0.56299999999999994</v>
      </c>
      <c r="F9" s="41">
        <v>0.55600000000000005</v>
      </c>
      <c r="G9" s="39">
        <v>0.61399999999999999</v>
      </c>
      <c r="H9" s="45">
        <v>0.67</v>
      </c>
      <c r="I9" s="45">
        <v>0.64700000000000002</v>
      </c>
      <c r="J9" s="45">
        <v>0.69099999999999995</v>
      </c>
      <c r="K9" s="45">
        <v>0.67500000000000004</v>
      </c>
      <c r="L9" s="42">
        <v>0.47299999999999998</v>
      </c>
      <c r="M9" s="13" t="s">
        <v>40</v>
      </c>
    </row>
    <row r="10" spans="1:13" ht="14" x14ac:dyDescent="0.15">
      <c r="A10" s="6" t="s">
        <v>46</v>
      </c>
      <c r="B10" s="27">
        <v>0.65800000000000003</v>
      </c>
      <c r="C10" s="25">
        <v>0.57699999999999996</v>
      </c>
      <c r="D10" s="25">
        <v>0.57599999999999996</v>
      </c>
      <c r="E10" s="25">
        <v>0.55500000000000005</v>
      </c>
      <c r="F10" s="25">
        <v>0.55500000000000005</v>
      </c>
      <c r="G10" s="25">
        <v>0.59499999999999997</v>
      </c>
      <c r="H10" s="25">
        <v>0.57799999999999996</v>
      </c>
      <c r="I10" s="26">
        <v>0.61299999999999999</v>
      </c>
      <c r="J10" s="26">
        <v>0.63600000000000001</v>
      </c>
      <c r="K10" s="27">
        <v>0.64600000000000002</v>
      </c>
      <c r="L10" s="24">
        <v>0.46700000000000003</v>
      </c>
      <c r="M10" s="13" t="s">
        <v>40</v>
      </c>
    </row>
    <row r="12" spans="1:13" ht="14" x14ac:dyDescent="0.15">
      <c r="A12" s="65" t="s">
        <v>59</v>
      </c>
      <c r="B12" s="58" t="s">
        <v>52</v>
      </c>
      <c r="C12" s="35">
        <v>0</v>
      </c>
      <c r="D12" s="36">
        <f t="shared" ref="D12:J12" si="2">E12/2</f>
        <v>3.90625</v>
      </c>
      <c r="E12" s="36">
        <f t="shared" si="2"/>
        <v>7.8125</v>
      </c>
      <c r="F12" s="36">
        <f t="shared" si="2"/>
        <v>15.625</v>
      </c>
      <c r="G12" s="35">
        <f t="shared" si="2"/>
        <v>31.25</v>
      </c>
      <c r="H12" s="35">
        <f t="shared" si="2"/>
        <v>62.5</v>
      </c>
      <c r="I12" s="35">
        <f t="shared" si="2"/>
        <v>125</v>
      </c>
      <c r="J12" s="35">
        <f t="shared" si="2"/>
        <v>250</v>
      </c>
      <c r="K12" s="35">
        <v>500</v>
      </c>
      <c r="L12" s="59" t="s">
        <v>53</v>
      </c>
    </row>
    <row r="13" spans="1:13" ht="14" x14ac:dyDescent="0.15">
      <c r="A13" s="6" t="s">
        <v>44</v>
      </c>
      <c r="B13" s="66">
        <f>B3-B8</f>
        <v>-0.13300000000000001</v>
      </c>
      <c r="C13" s="66">
        <f t="shared" ref="B13:L15" si="3">C3-C8</f>
        <v>2.0999999999999908E-2</v>
      </c>
      <c r="D13" s="66">
        <f t="shared" si="3"/>
        <v>1.8999999999999906E-2</v>
      </c>
      <c r="E13" s="66">
        <f t="shared" si="3"/>
        <v>1.9000000000000017E-2</v>
      </c>
      <c r="F13" s="66">
        <f t="shared" si="3"/>
        <v>1.2000000000000011E-2</v>
      </c>
      <c r="G13" s="66">
        <f t="shared" si="3"/>
        <v>1.9000000000000017E-2</v>
      </c>
      <c r="H13" s="66">
        <f t="shared" si="3"/>
        <v>2.5000000000000022E-2</v>
      </c>
      <c r="I13" s="66">
        <f t="shared" si="3"/>
        <v>1.6000000000000014E-2</v>
      </c>
      <c r="J13" s="66">
        <f t="shared" si="3"/>
        <v>-3.0000000000000027E-3</v>
      </c>
      <c r="K13" s="66">
        <f t="shared" si="3"/>
        <v>-3.6000000000000032E-2</v>
      </c>
      <c r="L13" s="67">
        <f t="shared" si="3"/>
        <v>-0.14500000000000002</v>
      </c>
    </row>
    <row r="14" spans="1:13" ht="14" x14ac:dyDescent="0.15">
      <c r="A14" s="6" t="s">
        <v>45</v>
      </c>
      <c r="B14" s="66">
        <f t="shared" si="3"/>
        <v>-0.13400000000000001</v>
      </c>
      <c r="C14" s="66">
        <f t="shared" si="3"/>
        <v>2.200000000000002E-2</v>
      </c>
      <c r="D14" s="66">
        <f t="shared" si="3"/>
        <v>1.2999999999999901E-2</v>
      </c>
      <c r="E14" s="66">
        <f t="shared" si="3"/>
        <v>2.6000000000000023E-2</v>
      </c>
      <c r="F14" s="66">
        <f t="shared" si="3"/>
        <v>2.2999999999999909E-2</v>
      </c>
      <c r="G14" s="66">
        <f t="shared" si="3"/>
        <v>2.7000000000000024E-2</v>
      </c>
      <c r="H14" s="66">
        <f t="shared" si="3"/>
        <v>2.399999999999991E-2</v>
      </c>
      <c r="I14" s="66">
        <f t="shared" si="3"/>
        <v>1.5000000000000013E-2</v>
      </c>
      <c r="J14" s="66">
        <f t="shared" si="3"/>
        <v>-1.8999999999999906E-2</v>
      </c>
      <c r="K14" s="66">
        <f t="shared" si="3"/>
        <v>-4.1000000000000036E-2</v>
      </c>
      <c r="L14" s="66">
        <f t="shared" si="3"/>
        <v>-9.7999999999999976E-2</v>
      </c>
    </row>
    <row r="15" spans="1:13" ht="14" x14ac:dyDescent="0.15">
      <c r="A15" s="6" t="s">
        <v>46</v>
      </c>
      <c r="B15" s="66">
        <f t="shared" si="3"/>
        <v>-0.13700000000000001</v>
      </c>
      <c r="C15" s="66">
        <f t="shared" si="3"/>
        <v>2.0000000000000018E-2</v>
      </c>
      <c r="D15" s="66">
        <f t="shared" si="3"/>
        <v>2.6000000000000023E-2</v>
      </c>
      <c r="E15" s="66">
        <f t="shared" si="3"/>
        <v>2.6999999999999913E-2</v>
      </c>
      <c r="F15" s="66">
        <f t="shared" si="3"/>
        <v>2.399999999999991E-2</v>
      </c>
      <c r="G15" s="66">
        <f t="shared" si="3"/>
        <v>2.300000000000002E-2</v>
      </c>
      <c r="H15" s="66">
        <f t="shared" si="3"/>
        <v>1.9000000000000017E-2</v>
      </c>
      <c r="I15" s="66">
        <f t="shared" si="3"/>
        <v>1.9000000000000017E-2</v>
      </c>
      <c r="J15" s="66">
        <f t="shared" si="3"/>
        <v>-7.0000000000000062E-3</v>
      </c>
      <c r="K15" s="66">
        <f t="shared" si="3"/>
        <v>-3.3000000000000029E-2</v>
      </c>
      <c r="L15" s="66">
        <f t="shared" si="3"/>
        <v>-9.5000000000000029E-2</v>
      </c>
      <c r="M15" s="50"/>
    </row>
    <row r="16" spans="1:13" ht="14" x14ac:dyDescent="0.15">
      <c r="A16" s="46" t="s">
        <v>54</v>
      </c>
      <c r="B16" s="68">
        <f>AVERAGE(B13:B15)</f>
        <v>-0.13466666666666668</v>
      </c>
      <c r="C16" s="68">
        <f t="shared" ref="C16:J16" si="4">AVERAGE(C13:C15)</f>
        <v>2.099999999999998E-2</v>
      </c>
      <c r="D16" s="68">
        <f t="shared" si="4"/>
        <v>1.9333333333333275E-2</v>
      </c>
      <c r="E16" s="68">
        <f t="shared" si="4"/>
        <v>2.3999999999999983E-2</v>
      </c>
      <c r="F16" s="68">
        <f t="shared" si="4"/>
        <v>1.966666666666661E-2</v>
      </c>
      <c r="G16" s="68">
        <f t="shared" si="4"/>
        <v>2.300000000000002E-2</v>
      </c>
      <c r="H16" s="68">
        <f t="shared" si="4"/>
        <v>2.2666666666666651E-2</v>
      </c>
      <c r="I16" s="68">
        <f t="shared" si="4"/>
        <v>1.666666666666668E-2</v>
      </c>
      <c r="J16" s="68">
        <f t="shared" si="4"/>
        <v>-9.6666666666666377E-3</v>
      </c>
      <c r="K16" s="68">
        <f>AVERAGE(K13:K15)</f>
        <v>-3.6666666666666702E-2</v>
      </c>
      <c r="L16" s="68">
        <f>AVERAGE(L14:L15)</f>
        <v>-9.6500000000000002E-2</v>
      </c>
      <c r="M16" s="50"/>
    </row>
    <row r="17" spans="1:13" ht="14" x14ac:dyDescent="0.15">
      <c r="A17" s="46" t="s">
        <v>60</v>
      </c>
      <c r="B17" s="68">
        <f>STDEV(B13:B15)</f>
        <v>2.0816659994661343E-3</v>
      </c>
      <c r="C17" s="68">
        <f t="shared" ref="C17:J17" si="5">STDEV(C13:C15)</f>
        <v>1.0000000000000009E-3</v>
      </c>
      <c r="D17" s="68">
        <f t="shared" si="5"/>
        <v>6.506407098647771E-3</v>
      </c>
      <c r="E17" s="68">
        <f t="shared" si="5"/>
        <v>4.3588989435406397E-3</v>
      </c>
      <c r="F17" s="68">
        <f t="shared" si="5"/>
        <v>6.6583281184793407E-3</v>
      </c>
      <c r="G17" s="68">
        <f t="shared" si="5"/>
        <v>4.0000000000000036E-3</v>
      </c>
      <c r="H17" s="68">
        <f t="shared" si="5"/>
        <v>3.2145502536642979E-3</v>
      </c>
      <c r="I17" s="68">
        <f t="shared" si="5"/>
        <v>2.0816659994661343E-3</v>
      </c>
      <c r="J17" s="68">
        <f t="shared" si="5"/>
        <v>8.3266639978644749E-3</v>
      </c>
      <c r="K17" s="68">
        <f>STDEV(K13:K15)</f>
        <v>4.0414518843273836E-3</v>
      </c>
      <c r="L17" s="68">
        <f>STDEV(L14:L15)</f>
        <v>2.1213203435596051E-3</v>
      </c>
      <c r="M17" s="50"/>
    </row>
    <row r="18" spans="1:13" ht="14" x14ac:dyDescent="0.15">
      <c r="A18" s="46" t="s">
        <v>56</v>
      </c>
      <c r="B18" s="47">
        <f t="shared" ref="B18:J18" si="6">B17/B16*100</f>
        <v>-1.5457915837619807</v>
      </c>
      <c r="C18" s="69">
        <f t="shared" si="6"/>
        <v>4.7619047619047707</v>
      </c>
      <c r="D18" s="69">
        <f t="shared" si="6"/>
        <v>33.653829820592016</v>
      </c>
      <c r="E18" s="69">
        <f t="shared" si="6"/>
        <v>18.162078931419344</v>
      </c>
      <c r="F18" s="69">
        <f t="shared" si="6"/>
        <v>33.855905687183188</v>
      </c>
      <c r="G18" s="69">
        <f t="shared" si="6"/>
        <v>17.391304347826086</v>
      </c>
      <c r="H18" s="69">
        <f t="shared" si="6"/>
        <v>14.181839354401324</v>
      </c>
      <c r="I18" s="69">
        <f t="shared" si="6"/>
        <v>12.489995996796797</v>
      </c>
      <c r="J18" s="69">
        <f t="shared" si="6"/>
        <v>-86.137903426184479</v>
      </c>
      <c r="K18" s="69">
        <f>K17/K16*100</f>
        <v>-11.022141502711037</v>
      </c>
      <c r="L18" s="47">
        <f t="shared" ref="L18" si="7">L17/L16*100</f>
        <v>-2.198259423377829</v>
      </c>
      <c r="M18" s="50"/>
    </row>
    <row r="19" spans="1:13" x14ac:dyDescent="0.15">
      <c r="M19" s="50"/>
    </row>
    <row r="20" spans="1:13" x14ac:dyDescent="0.15">
      <c r="B20" s="86" t="s">
        <v>57</v>
      </c>
      <c r="C20" s="47">
        <f>(C13-$B$16)/($C$16-$B$16)*100</f>
        <v>99.999999999999943</v>
      </c>
      <c r="D20" s="47">
        <f t="shared" ref="C20:L22" si="8">(D13-$B$16)/($C$16-$B$16)*100</f>
        <v>98.715203426124148</v>
      </c>
      <c r="E20" s="47">
        <f t="shared" si="8"/>
        <v>98.715203426124205</v>
      </c>
      <c r="F20" s="47">
        <f t="shared" si="8"/>
        <v>94.218415417558901</v>
      </c>
      <c r="G20" s="47">
        <f t="shared" si="8"/>
        <v>98.715203426124205</v>
      </c>
      <c r="H20" s="47">
        <f t="shared" si="8"/>
        <v>102.56959314775162</v>
      </c>
      <c r="I20" s="47">
        <f t="shared" si="8"/>
        <v>96.78800856531052</v>
      </c>
      <c r="J20" s="47">
        <f t="shared" si="8"/>
        <v>84.582441113490376</v>
      </c>
      <c r="K20" s="47">
        <f t="shared" si="8"/>
        <v>63.383297644539603</v>
      </c>
      <c r="L20" s="49">
        <f t="shared" si="8"/>
        <v>-6.6381156316916492</v>
      </c>
      <c r="M20" s="50"/>
    </row>
    <row r="21" spans="1:13" x14ac:dyDescent="0.15">
      <c r="B21" s="86"/>
      <c r="C21" s="47">
        <f t="shared" si="8"/>
        <v>100.64239828693793</v>
      </c>
      <c r="D21" s="47">
        <f t="shared" si="8"/>
        <v>94.860813704496721</v>
      </c>
      <c r="E21" s="47">
        <f t="shared" si="8"/>
        <v>103.21199143468954</v>
      </c>
      <c r="F21" s="47">
        <f t="shared" si="8"/>
        <v>101.28479657387575</v>
      </c>
      <c r="G21" s="47">
        <f t="shared" si="8"/>
        <v>103.85438972162744</v>
      </c>
      <c r="H21" s="47">
        <f t="shared" si="8"/>
        <v>101.92719486081366</v>
      </c>
      <c r="I21" s="47">
        <f t="shared" si="8"/>
        <v>96.145610278372601</v>
      </c>
      <c r="J21" s="47">
        <f t="shared" si="8"/>
        <v>74.304068522484016</v>
      </c>
      <c r="K21" s="47">
        <f t="shared" si="8"/>
        <v>60.171306209850094</v>
      </c>
      <c r="L21" s="47">
        <f t="shared" si="8"/>
        <v>23.554603854389747</v>
      </c>
      <c r="M21" s="50"/>
    </row>
    <row r="22" spans="1:13" x14ac:dyDescent="0.15">
      <c r="B22" s="86"/>
      <c r="C22" s="47">
        <f t="shared" si="8"/>
        <v>99.35760171306211</v>
      </c>
      <c r="D22" s="47">
        <f t="shared" si="8"/>
        <v>103.21199143468954</v>
      </c>
      <c r="E22" s="47">
        <f t="shared" si="8"/>
        <v>103.85438972162734</v>
      </c>
      <c r="F22" s="47">
        <f t="shared" si="8"/>
        <v>101.92719486081366</v>
      </c>
      <c r="G22" s="47">
        <f t="shared" si="8"/>
        <v>101.28479657387581</v>
      </c>
      <c r="H22" s="47">
        <f t="shared" si="8"/>
        <v>98.715203426124205</v>
      </c>
      <c r="I22" s="47">
        <f t="shared" si="8"/>
        <v>98.715203426124205</v>
      </c>
      <c r="J22" s="47">
        <f t="shared" si="8"/>
        <v>82.012847965738757</v>
      </c>
      <c r="K22" s="47">
        <f t="shared" si="8"/>
        <v>65.310492505353309</v>
      </c>
      <c r="L22" s="47">
        <f t="shared" si="8"/>
        <v>25.481798715203418</v>
      </c>
      <c r="M22" s="50"/>
    </row>
    <row r="23" spans="1:13" ht="14" x14ac:dyDescent="0.15">
      <c r="B23" s="70" t="s">
        <v>54</v>
      </c>
      <c r="C23" s="71">
        <f t="shared" ref="C23:K23" si="9">AVERAGE(C20:C22)</f>
        <v>100</v>
      </c>
      <c r="D23" s="71">
        <f t="shared" si="9"/>
        <v>98.929336188436807</v>
      </c>
      <c r="E23" s="71">
        <f t="shared" si="9"/>
        <v>101.9271948608137</v>
      </c>
      <c r="F23" s="71">
        <f t="shared" si="9"/>
        <v>99.143468950749437</v>
      </c>
      <c r="G23" s="71">
        <f t="shared" si="9"/>
        <v>101.28479657387582</v>
      </c>
      <c r="H23" s="71">
        <f t="shared" si="9"/>
        <v>101.07066381156316</v>
      </c>
      <c r="I23" s="71">
        <f t="shared" si="9"/>
        <v>97.21627408993578</v>
      </c>
      <c r="J23" s="71">
        <f t="shared" si="9"/>
        <v>80.299785867237716</v>
      </c>
      <c r="K23" s="71">
        <f t="shared" si="9"/>
        <v>62.955032119914335</v>
      </c>
      <c r="L23" s="71">
        <f>AVERAGE(L21:L22)</f>
        <v>24.518201284796582</v>
      </c>
      <c r="M23" s="50"/>
    </row>
    <row r="24" spans="1:13" ht="14" x14ac:dyDescent="0.15">
      <c r="B24" s="46" t="s">
        <v>60</v>
      </c>
      <c r="C24" s="47">
        <f t="shared" ref="C24:K24" si="10">STDEV(C20:C22)</f>
        <v>0.64239828693791168</v>
      </c>
      <c r="D24" s="47">
        <f t="shared" si="10"/>
        <v>4.1797047742919409</v>
      </c>
      <c r="E24" s="47">
        <f t="shared" si="10"/>
        <v>2.8001492142659363</v>
      </c>
      <c r="F24" s="47">
        <f t="shared" si="10"/>
        <v>4.2772985771815861</v>
      </c>
      <c r="G24" s="47">
        <f t="shared" si="10"/>
        <v>2.5695931477516183</v>
      </c>
      <c r="H24" s="47">
        <f t="shared" si="10"/>
        <v>2.0650215762297446</v>
      </c>
      <c r="I24" s="47">
        <f t="shared" si="10"/>
        <v>1.3372586720339144</v>
      </c>
      <c r="J24" s="47">
        <f t="shared" si="10"/>
        <v>5.3490346881356343</v>
      </c>
      <c r="K24" s="47">
        <f t="shared" si="10"/>
        <v>2.5962217672338648</v>
      </c>
      <c r="L24" s="47">
        <f>STDEV(L21:L22)</f>
        <v>1.3627325547492115</v>
      </c>
      <c r="M24" s="50"/>
    </row>
    <row r="25" spans="1:13" ht="14" x14ac:dyDescent="0.15">
      <c r="B25" s="46" t="s">
        <v>56</v>
      </c>
      <c r="C25" s="47">
        <f t="shared" ref="C25:K25" si="11">C24/C23*100</f>
        <v>0.64239828693791168</v>
      </c>
      <c r="D25" s="47">
        <f t="shared" si="11"/>
        <v>4.2249396744466168</v>
      </c>
      <c r="E25" s="47">
        <f t="shared" si="11"/>
        <v>2.7472052165172109</v>
      </c>
      <c r="F25" s="47">
        <f t="shared" si="11"/>
        <v>4.314251480656158</v>
      </c>
      <c r="G25" s="47">
        <f t="shared" si="11"/>
        <v>2.536997885835107</v>
      </c>
      <c r="H25" s="47">
        <f t="shared" si="11"/>
        <v>2.0431463476679892</v>
      </c>
      <c r="I25" s="47">
        <f t="shared" si="11"/>
        <v>1.375550219911537</v>
      </c>
      <c r="J25" s="47">
        <f t="shared" si="11"/>
        <v>6.6613311982915739</v>
      </c>
      <c r="K25" s="47">
        <f t="shared" si="11"/>
        <v>4.1239304942116162</v>
      </c>
      <c r="L25" s="54">
        <f>L24/L23*100</f>
        <v>5.5580445682784418</v>
      </c>
      <c r="M25" s="50"/>
    </row>
  </sheetData>
  <mergeCells count="2">
    <mergeCell ref="C1:K1"/>
    <mergeCell ref="B20:B22"/>
  </mergeCells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D749-8533-6C4D-9FEF-1BA12338BF7B}">
  <dimension ref="A2:K17"/>
  <sheetViews>
    <sheetView workbookViewId="0">
      <selection sqref="A1:K18"/>
    </sheetView>
  </sheetViews>
  <sheetFormatPr baseColWidth="10" defaultRowHeight="13" x14ac:dyDescent="0.15"/>
  <sheetData>
    <row r="2" spans="1:11" x14ac:dyDescent="0.15">
      <c r="A2" s="72" t="s">
        <v>61</v>
      </c>
      <c r="B2" s="84" t="s">
        <v>51</v>
      </c>
      <c r="C2" s="84"/>
      <c r="D2" s="84"/>
      <c r="E2" s="84"/>
      <c r="F2" s="84"/>
      <c r="G2" s="84"/>
      <c r="H2" s="84"/>
      <c r="I2" s="84"/>
      <c r="J2" s="84"/>
    </row>
    <row r="3" spans="1:11" x14ac:dyDescent="0.15">
      <c r="B3" s="35">
        <v>0</v>
      </c>
      <c r="C3" s="36">
        <f t="shared" ref="C3:I3" si="0">D3/2</f>
        <v>3.90625</v>
      </c>
      <c r="D3" s="36">
        <f t="shared" si="0"/>
        <v>7.8125</v>
      </c>
      <c r="E3" s="36">
        <f t="shared" si="0"/>
        <v>15.625</v>
      </c>
      <c r="F3" s="35">
        <f t="shared" si="0"/>
        <v>31.25</v>
      </c>
      <c r="G3" s="35">
        <f t="shared" si="0"/>
        <v>62.5</v>
      </c>
      <c r="H3" s="35">
        <f t="shared" si="0"/>
        <v>125</v>
      </c>
      <c r="I3" s="35">
        <f t="shared" si="0"/>
        <v>250</v>
      </c>
      <c r="J3" s="35">
        <v>500</v>
      </c>
    </row>
    <row r="4" spans="1:11" x14ac:dyDescent="0.15">
      <c r="A4" s="73" t="s">
        <v>62</v>
      </c>
      <c r="B4" s="47">
        <v>100</v>
      </c>
      <c r="C4" s="47">
        <v>95.293614437882908</v>
      </c>
      <c r="D4" s="47">
        <v>84.334124399801325</v>
      </c>
      <c r="E4" s="47">
        <v>79.017881781555275</v>
      </c>
      <c r="F4" s="47">
        <v>79.787791820740665</v>
      </c>
      <c r="G4" s="47">
        <v>69.467133947789605</v>
      </c>
      <c r="H4" s="47">
        <v>72.183895358463488</v>
      </c>
      <c r="I4" s="47">
        <v>70.851040344389858</v>
      </c>
      <c r="J4" s="47">
        <v>38.331309674926878</v>
      </c>
    </row>
    <row r="5" spans="1:11" x14ac:dyDescent="0.15">
      <c r="A5" s="73" t="s">
        <v>63</v>
      </c>
      <c r="B5" s="47">
        <v>100</v>
      </c>
      <c r="C5" s="47">
        <v>95.860852149448036</v>
      </c>
      <c r="D5" s="47">
        <v>103.62890727450467</v>
      </c>
      <c r="E5" s="47">
        <v>100.69144750959681</v>
      </c>
      <c r="F5" s="47">
        <v>86.869650222932208</v>
      </c>
      <c r="G5" s="47">
        <v>76.443098638563697</v>
      </c>
      <c r="H5" s="47">
        <v>81.490665458620455</v>
      </c>
      <c r="I5" s="47">
        <v>73.10269187668392</v>
      </c>
      <c r="J5" s="47">
        <v>54.381154478910844</v>
      </c>
      <c r="K5" s="87" t="s">
        <v>64</v>
      </c>
    </row>
    <row r="6" spans="1:11" x14ac:dyDescent="0.15">
      <c r="A6" s="74" t="s">
        <v>54</v>
      </c>
      <c r="B6" s="75">
        <f>AVERAGE(B4:B5)</f>
        <v>100</v>
      </c>
      <c r="C6" s="75">
        <f t="shared" ref="C6:J6" si="1">AVERAGE(C4:C5)</f>
        <v>95.577233293665472</v>
      </c>
      <c r="D6" s="75">
        <f t="shared" si="1"/>
        <v>93.981515837152998</v>
      </c>
      <c r="E6" s="75">
        <f t="shared" si="1"/>
        <v>89.854664645576037</v>
      </c>
      <c r="F6" s="75">
        <f t="shared" si="1"/>
        <v>83.328721021836429</v>
      </c>
      <c r="G6" s="75">
        <f t="shared" si="1"/>
        <v>72.955116293176644</v>
      </c>
      <c r="H6" s="75">
        <f t="shared" si="1"/>
        <v>76.837280408541972</v>
      </c>
      <c r="I6" s="75">
        <f t="shared" si="1"/>
        <v>71.976866110536889</v>
      </c>
      <c r="J6" s="75">
        <f t="shared" si="1"/>
        <v>46.356232076918857</v>
      </c>
      <c r="K6" s="87"/>
    </row>
    <row r="7" spans="1:11" x14ac:dyDescent="0.15">
      <c r="A7" s="74" t="s">
        <v>55</v>
      </c>
      <c r="B7" s="47">
        <f>STDEV(B4:B5)</f>
        <v>0</v>
      </c>
      <c r="C7" s="47">
        <f t="shared" ref="C7:J7" si="2">STDEV(C4:C5)</f>
        <v>0.4010976323924404</v>
      </c>
      <c r="D7" s="47">
        <f t="shared" si="2"/>
        <v>13.643471812224766</v>
      </c>
      <c r="E7" s="47">
        <f t="shared" si="2"/>
        <v>15.325525298790575</v>
      </c>
      <c r="F7" s="47">
        <f t="shared" si="2"/>
        <v>5.0076300995925678</v>
      </c>
      <c r="G7" s="47">
        <f t="shared" si="2"/>
        <v>4.9327519381642775</v>
      </c>
      <c r="H7" s="47">
        <f t="shared" si="2"/>
        <v>6.5808802487651956</v>
      </c>
      <c r="I7" s="47">
        <f t="shared" si="2"/>
        <v>1.5921580673542117</v>
      </c>
      <c r="J7" s="47">
        <f t="shared" si="2"/>
        <v>11.348954097888809</v>
      </c>
      <c r="K7" s="87"/>
    </row>
    <row r="8" spans="1:11" x14ac:dyDescent="0.15">
      <c r="A8" s="74" t="s">
        <v>56</v>
      </c>
      <c r="B8" s="76">
        <f>B7/B6*100</f>
        <v>0</v>
      </c>
      <c r="C8" s="76">
        <f t="shared" ref="C8:J8" si="3">C7/C6*100</f>
        <v>0.41965813255971679</v>
      </c>
      <c r="D8" s="76">
        <f t="shared" si="3"/>
        <v>14.517186375101215</v>
      </c>
      <c r="E8" s="76">
        <f t="shared" si="3"/>
        <v>17.055903952500167</v>
      </c>
      <c r="F8" s="76">
        <f t="shared" si="3"/>
        <v>6.0094887311186618</v>
      </c>
      <c r="G8" s="76">
        <f t="shared" si="3"/>
        <v>6.7613516211002578</v>
      </c>
      <c r="H8" s="76">
        <f t="shared" si="3"/>
        <v>8.564696998351339</v>
      </c>
      <c r="I8" s="76">
        <f t="shared" si="3"/>
        <v>2.2120413868937971</v>
      </c>
      <c r="J8" s="76">
        <f t="shared" si="3"/>
        <v>24.482046079710486</v>
      </c>
      <c r="K8" s="77">
        <f>AVERAGE(B8:J8)</f>
        <v>8.8913748085928503</v>
      </c>
    </row>
    <row r="11" spans="1:11" x14ac:dyDescent="0.15">
      <c r="A11" s="78" t="s">
        <v>65</v>
      </c>
      <c r="B11" s="84" t="s">
        <v>51</v>
      </c>
      <c r="C11" s="84"/>
      <c r="D11" s="84"/>
      <c r="E11" s="84"/>
      <c r="F11" s="84"/>
      <c r="G11" s="84"/>
      <c r="H11" s="84"/>
      <c r="I11" s="84"/>
      <c r="J11" s="84"/>
    </row>
    <row r="12" spans="1:11" x14ac:dyDescent="0.15">
      <c r="B12" s="35">
        <v>0</v>
      </c>
      <c r="C12" s="36">
        <f t="shared" ref="C12:I12" si="4">D12/2</f>
        <v>3.90625</v>
      </c>
      <c r="D12" s="36">
        <f t="shared" si="4"/>
        <v>7.8125</v>
      </c>
      <c r="E12" s="36">
        <f t="shared" si="4"/>
        <v>15.625</v>
      </c>
      <c r="F12" s="35">
        <f t="shared" si="4"/>
        <v>31.25</v>
      </c>
      <c r="G12" s="35">
        <f t="shared" si="4"/>
        <v>62.5</v>
      </c>
      <c r="H12" s="35">
        <f t="shared" si="4"/>
        <v>125</v>
      </c>
      <c r="I12" s="35">
        <f t="shared" si="4"/>
        <v>250</v>
      </c>
      <c r="J12" s="35">
        <v>500</v>
      </c>
    </row>
    <row r="13" spans="1:11" x14ac:dyDescent="0.15">
      <c r="A13" s="73" t="s">
        <v>62</v>
      </c>
      <c r="B13" s="47">
        <v>99.999999999999986</v>
      </c>
      <c r="C13" s="47">
        <v>89.848121502797753</v>
      </c>
      <c r="D13" s="47">
        <v>85.531574740207816</v>
      </c>
      <c r="E13" s="47">
        <v>79.376498800959254</v>
      </c>
      <c r="F13" s="47">
        <v>81.454836131095121</v>
      </c>
      <c r="G13" s="47">
        <v>72.821742605915261</v>
      </c>
      <c r="H13" s="47">
        <v>77.138289368505184</v>
      </c>
      <c r="I13" s="47">
        <v>74.260591526778569</v>
      </c>
      <c r="J13" s="47">
        <v>36.53077537969623</v>
      </c>
    </row>
    <row r="14" spans="1:11" x14ac:dyDescent="0.15">
      <c r="A14" s="73" t="s">
        <v>63</v>
      </c>
      <c r="B14" s="47">
        <v>100</v>
      </c>
      <c r="C14" s="47">
        <v>98.929336188436807</v>
      </c>
      <c r="D14" s="47">
        <v>101.9271948608137</v>
      </c>
      <c r="E14" s="47">
        <v>99.143468950749437</v>
      </c>
      <c r="F14" s="47">
        <v>101.28479657387582</v>
      </c>
      <c r="G14" s="47">
        <v>101.07066381156316</v>
      </c>
      <c r="H14" s="47">
        <v>97.21627408993578</v>
      </c>
      <c r="I14" s="47">
        <v>80.299785867237716</v>
      </c>
      <c r="J14" s="47">
        <v>62.955032119914335</v>
      </c>
      <c r="K14" s="88" t="s">
        <v>64</v>
      </c>
    </row>
    <row r="15" spans="1:11" x14ac:dyDescent="0.15">
      <c r="A15" s="74" t="s">
        <v>54</v>
      </c>
      <c r="B15" s="69">
        <f>AVERAGE(B13:B14)</f>
        <v>100</v>
      </c>
      <c r="C15" s="69">
        <f t="shared" ref="C15:J15" si="5">AVERAGE(C13:C14)</f>
        <v>94.38872884561728</v>
      </c>
      <c r="D15" s="69">
        <f t="shared" si="5"/>
        <v>93.729384800510758</v>
      </c>
      <c r="E15" s="69">
        <f t="shared" si="5"/>
        <v>89.259983875854346</v>
      </c>
      <c r="F15" s="69">
        <f t="shared" si="5"/>
        <v>91.369816352485472</v>
      </c>
      <c r="G15" s="69">
        <f t="shared" si="5"/>
        <v>86.946203208739206</v>
      </c>
      <c r="H15" s="69">
        <f t="shared" si="5"/>
        <v>87.177281729220482</v>
      </c>
      <c r="I15" s="69">
        <f t="shared" si="5"/>
        <v>77.280188697008143</v>
      </c>
      <c r="J15" s="69">
        <f t="shared" si="5"/>
        <v>49.742903749805279</v>
      </c>
      <c r="K15" s="88"/>
    </row>
    <row r="16" spans="1:11" x14ac:dyDescent="0.15">
      <c r="A16" s="74" t="s">
        <v>55</v>
      </c>
      <c r="B16" s="47">
        <f>STDEV(B13:B14)</f>
        <v>1.4210854715202004E-14</v>
      </c>
      <c r="C16" s="47">
        <f t="shared" ref="C16:J16" si="6">STDEV(C13:C14)</f>
        <v>6.4213884856262364</v>
      </c>
      <c r="D16" s="47">
        <f t="shared" si="6"/>
        <v>11.59345416903902</v>
      </c>
      <c r="E16" s="47">
        <f t="shared" si="6"/>
        <v>13.977358636428695</v>
      </c>
      <c r="F16" s="47">
        <f t="shared" si="6"/>
        <v>14.021899499751246</v>
      </c>
      <c r="G16" s="47">
        <f t="shared" si="6"/>
        <v>19.975003745718148</v>
      </c>
      <c r="H16" s="47">
        <f t="shared" si="6"/>
        <v>14.197279149083435</v>
      </c>
      <c r="I16" s="47">
        <f t="shared" si="6"/>
        <v>4.2703552710420825</v>
      </c>
      <c r="J16" s="47">
        <f t="shared" si="6"/>
        <v>18.684771128822597</v>
      </c>
      <c r="K16" s="88"/>
    </row>
    <row r="17" spans="1:11" x14ac:dyDescent="0.15">
      <c r="A17" s="74" t="s">
        <v>56</v>
      </c>
      <c r="B17" s="79">
        <f>B16/B15*100</f>
        <v>1.4210854715202004E-14</v>
      </c>
      <c r="C17" s="79">
        <f t="shared" ref="C17:J17" si="7">C16/C15*100</f>
        <v>6.8031305900189576</v>
      </c>
      <c r="D17" s="79">
        <f t="shared" si="7"/>
        <v>12.369071016217578</v>
      </c>
      <c r="E17" s="79">
        <f t="shared" si="7"/>
        <v>15.659154337142672</v>
      </c>
      <c r="F17" s="79">
        <f t="shared" si="7"/>
        <v>15.346314635959994</v>
      </c>
      <c r="G17" s="79">
        <f t="shared" si="7"/>
        <v>22.973980471306426</v>
      </c>
      <c r="H17" s="79">
        <f t="shared" si="7"/>
        <v>16.285526306247199</v>
      </c>
      <c r="I17" s="79">
        <f t="shared" si="7"/>
        <v>5.5258085455573003</v>
      </c>
      <c r="J17" s="79">
        <f t="shared" si="7"/>
        <v>37.56268677599212</v>
      </c>
      <c r="K17" s="80">
        <f>AVERAGE(B17:J17)</f>
        <v>14.725074742049141</v>
      </c>
    </row>
  </sheetData>
  <mergeCells count="4">
    <mergeCell ref="B2:J2"/>
    <mergeCell ref="K5:K7"/>
    <mergeCell ref="B11:J11"/>
    <mergeCell ref="K14:K16"/>
  </mergeCell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 1 - Sheet1</vt:lpstr>
      <vt:lpstr>FLUO</vt:lpstr>
      <vt:lpstr>ABS</vt:lpstr>
      <vt:lpstr>inter-run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Vânia Vilas-Boas</cp:lastModifiedBy>
  <cp:lastPrinted>2024-05-02T12:30:11Z</cp:lastPrinted>
  <dcterms:created xsi:type="dcterms:W3CDTF">2011-01-18T20:51:17Z</dcterms:created>
  <dcterms:modified xsi:type="dcterms:W3CDTF">2024-05-02T12:30:12Z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