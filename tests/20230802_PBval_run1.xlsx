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Volumes/Data/Nanosafety/VVB/SynergyH1/PB val/"/>
    </mc:Choice>
  </mc:AlternateContent>
  <xr:revisionPtr revIDLastSave="0" documentId="13_ncr:1_{7992EF3E-616B-3942-AD78-62B04BF02490}" xr6:coauthVersionLast="47" xr6:coauthVersionMax="47" xr10:uidLastSave="{00000000-0000-0000-0000-000000000000}"/>
  <bookViews>
    <workbookView xWindow="120" yWindow="500" windowWidth="18900" windowHeight="15160" activeTab="2" xr2:uid="{00000000-000D-0000-FFFF-FFFF00000000}"/>
  </bookViews>
  <sheets>
    <sheet name="Plate 1 - Sheet1" sheetId="1" r:id="rId1"/>
    <sheet name="FLUO" sheetId="2" r:id="rId2"/>
    <sheet name="ABS" sheetId="3" r:id="rId3"/>
  </sheets>
  <definedNames>
    <definedName name="MethodPointer1">-1282007056</definedName>
    <definedName name="MethodPointer2">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3" l="1"/>
  <c r="J17" i="3"/>
  <c r="B17" i="3"/>
  <c r="L16" i="3"/>
  <c r="K16" i="3"/>
  <c r="J16" i="3"/>
  <c r="I16" i="3"/>
  <c r="H16" i="3"/>
  <c r="G16" i="3"/>
  <c r="F16" i="3"/>
  <c r="E16" i="3"/>
  <c r="D16" i="3"/>
  <c r="C16" i="3"/>
  <c r="B16" i="3"/>
  <c r="L15" i="3"/>
  <c r="K15" i="3"/>
  <c r="J15" i="3"/>
  <c r="I15" i="3"/>
  <c r="H15" i="3"/>
  <c r="G15" i="3"/>
  <c r="G17" i="3" s="1"/>
  <c r="F15" i="3"/>
  <c r="E15" i="3"/>
  <c r="D15" i="3"/>
  <c r="C15" i="3"/>
  <c r="B15" i="3"/>
  <c r="L14" i="3"/>
  <c r="L18" i="3" s="1"/>
  <c r="K14" i="3"/>
  <c r="K18" i="3" s="1"/>
  <c r="J14" i="3"/>
  <c r="J18" i="3" s="1"/>
  <c r="J19" i="3" s="1"/>
  <c r="I14" i="3"/>
  <c r="H14" i="3"/>
  <c r="H17" i="3" s="1"/>
  <c r="G14" i="3"/>
  <c r="F14" i="3"/>
  <c r="E14" i="3"/>
  <c r="E18" i="3" s="1"/>
  <c r="D14" i="3"/>
  <c r="D18" i="3" s="1"/>
  <c r="C14" i="3"/>
  <c r="C18" i="3" s="1"/>
  <c r="B14" i="3"/>
  <c r="B18" i="3" s="1"/>
  <c r="B19" i="3" s="1"/>
  <c r="J13" i="3"/>
  <c r="I13" i="3"/>
  <c r="H13" i="3" s="1"/>
  <c r="G13" i="3" s="1"/>
  <c r="F13" i="3" s="1"/>
  <c r="E13" i="3" s="1"/>
  <c r="D13" i="3" s="1"/>
  <c r="J8" i="3"/>
  <c r="I8" i="3" s="1"/>
  <c r="H8" i="3" s="1"/>
  <c r="G8" i="3" s="1"/>
  <c r="F8" i="3" s="1"/>
  <c r="E8" i="3" s="1"/>
  <c r="D8" i="3" s="1"/>
  <c r="J3" i="3"/>
  <c r="I3" i="3" s="1"/>
  <c r="H3" i="3" s="1"/>
  <c r="G3" i="3" s="1"/>
  <c r="F3" i="3" s="1"/>
  <c r="E3" i="3" s="1"/>
  <c r="D3" i="3" s="1"/>
  <c r="L8" i="2"/>
  <c r="L9" i="2" s="1"/>
  <c r="K8" i="2"/>
  <c r="K9" i="2" s="1"/>
  <c r="J8" i="2"/>
  <c r="J9" i="2" s="1"/>
  <c r="I8" i="2"/>
  <c r="I9" i="2" s="1"/>
  <c r="H8" i="2"/>
  <c r="H9" i="2" s="1"/>
  <c r="G8" i="2"/>
  <c r="G9" i="2" s="1"/>
  <c r="F8" i="2"/>
  <c r="F9" i="2" s="1"/>
  <c r="E8" i="2"/>
  <c r="E9" i="2" s="1"/>
  <c r="D8" i="2"/>
  <c r="D9" i="2" s="1"/>
  <c r="C8" i="2"/>
  <c r="C9" i="2" s="1"/>
  <c r="B8" i="2"/>
  <c r="B9" i="2" s="1"/>
  <c r="L7" i="2"/>
  <c r="K7" i="2"/>
  <c r="J7" i="2"/>
  <c r="I7" i="2"/>
  <c r="H7" i="2"/>
  <c r="G7" i="2"/>
  <c r="F7" i="2"/>
  <c r="E7" i="2"/>
  <c r="D7" i="2"/>
  <c r="C7" i="2"/>
  <c r="B7" i="2"/>
  <c r="K13" i="2" s="1"/>
  <c r="J3" i="2"/>
  <c r="I3" i="2" s="1"/>
  <c r="H3" i="2" s="1"/>
  <c r="G3" i="2" s="1"/>
  <c r="F3" i="2" s="1"/>
  <c r="E3" i="2" s="1"/>
  <c r="D3" i="2" s="1"/>
  <c r="K19" i="3" l="1"/>
  <c r="D19" i="3"/>
  <c r="G19" i="3"/>
  <c r="I17" i="3"/>
  <c r="F18" i="3"/>
  <c r="F19" i="3" s="1"/>
  <c r="C17" i="3"/>
  <c r="F21" i="3" s="1"/>
  <c r="K17" i="3"/>
  <c r="H18" i="3"/>
  <c r="H19" i="3" s="1"/>
  <c r="I18" i="3"/>
  <c r="I19" i="3" s="1"/>
  <c r="E17" i="3"/>
  <c r="E19" i="3" s="1"/>
  <c r="D21" i="3"/>
  <c r="F17" i="3"/>
  <c r="D17" i="3"/>
  <c r="L17" i="3"/>
  <c r="L19" i="3" s="1"/>
  <c r="M9" i="2"/>
  <c r="H11" i="2"/>
  <c r="F12" i="2"/>
  <c r="D13" i="2"/>
  <c r="L13" i="2"/>
  <c r="I11" i="2"/>
  <c r="G12" i="2"/>
  <c r="E13" i="2"/>
  <c r="J11" i="2"/>
  <c r="H12" i="2"/>
  <c r="F13" i="2"/>
  <c r="C11" i="2"/>
  <c r="K11" i="2"/>
  <c r="I12" i="2"/>
  <c r="G13" i="2"/>
  <c r="D11" i="2"/>
  <c r="L11" i="2"/>
  <c r="J12" i="2"/>
  <c r="H13" i="2"/>
  <c r="E11" i="2"/>
  <c r="C12" i="2"/>
  <c r="K12" i="2"/>
  <c r="I13" i="2"/>
  <c r="F11" i="2"/>
  <c r="D12" i="2"/>
  <c r="L12" i="2"/>
  <c r="J13" i="2"/>
  <c r="G11" i="2"/>
  <c r="E12" i="2"/>
  <c r="C13" i="2"/>
  <c r="H22" i="3" l="1"/>
  <c r="G23" i="3"/>
  <c r="I23" i="3"/>
  <c r="D22" i="3"/>
  <c r="D24" i="3" s="1"/>
  <c r="C21" i="3"/>
  <c r="C19" i="3"/>
  <c r="M19" i="3" s="1"/>
  <c r="H23" i="3"/>
  <c r="E21" i="3"/>
  <c r="J21" i="3"/>
  <c r="L23" i="3"/>
  <c r="K22" i="3"/>
  <c r="E23" i="3"/>
  <c r="J22" i="3"/>
  <c r="K21" i="3"/>
  <c r="H21" i="3"/>
  <c r="J23" i="3"/>
  <c r="I22" i="3"/>
  <c r="I21" i="3"/>
  <c r="D23" i="3"/>
  <c r="K23" i="3"/>
  <c r="C22" i="3"/>
  <c r="D25" i="3"/>
  <c r="E22" i="3"/>
  <c r="G22" i="3"/>
  <c r="F22" i="3"/>
  <c r="F25" i="3" s="1"/>
  <c r="G21" i="3"/>
  <c r="F23" i="3"/>
  <c r="L21" i="3"/>
  <c r="C23" i="3"/>
  <c r="L22" i="3"/>
  <c r="F15" i="2"/>
  <c r="F14" i="2"/>
  <c r="I14" i="2"/>
  <c r="I15" i="2"/>
  <c r="I16" i="2" s="1"/>
  <c r="K15" i="2"/>
  <c r="K14" i="2"/>
  <c r="C15" i="2"/>
  <c r="C14" i="2"/>
  <c r="D15" i="2"/>
  <c r="D14" i="2"/>
  <c r="G15" i="2"/>
  <c r="G14" i="2"/>
  <c r="H14" i="2"/>
  <c r="H15" i="2"/>
  <c r="H16" i="2" s="1"/>
  <c r="E15" i="2"/>
  <c r="E14" i="2"/>
  <c r="L15" i="2"/>
  <c r="L16" i="2" s="1"/>
  <c r="L14" i="2"/>
  <c r="J15" i="2"/>
  <c r="J14" i="2"/>
  <c r="D26" i="3" l="1"/>
  <c r="L25" i="3"/>
  <c r="L24" i="3"/>
  <c r="C24" i="3"/>
  <c r="C25" i="3"/>
  <c r="C26" i="3" s="1"/>
  <c r="K25" i="3"/>
  <c r="K24" i="3"/>
  <c r="J25" i="3"/>
  <c r="J24" i="3"/>
  <c r="G25" i="3"/>
  <c r="G26" i="3" s="1"/>
  <c r="G24" i="3"/>
  <c r="I24" i="3"/>
  <c r="I25" i="3"/>
  <c r="I26" i="3" s="1"/>
  <c r="E24" i="3"/>
  <c r="E25" i="3"/>
  <c r="E26" i="3" s="1"/>
  <c r="F24" i="3"/>
  <c r="F26" i="3" s="1"/>
  <c r="H24" i="3"/>
  <c r="H25" i="3"/>
  <c r="H26" i="3" s="1"/>
  <c r="J16" i="2"/>
  <c r="E16" i="2"/>
  <c r="K16" i="2"/>
  <c r="G16" i="2"/>
  <c r="C16" i="2"/>
  <c r="D16" i="2"/>
  <c r="F16" i="2"/>
  <c r="K26" i="3" l="1"/>
  <c r="L26" i="3"/>
  <c r="J26" i="3"/>
  <c r="M26" i="3" s="1"/>
  <c r="M16" i="2"/>
</calcChain>
</file>

<file path=xl/sharedStrings.xml><?xml version="1.0" encoding="utf-8"?>
<sst xmlns="http://schemas.openxmlformats.org/spreadsheetml/2006/main" count="163" uniqueCount="61">
  <si>
    <t>Software Version</t>
  </si>
  <si>
    <t>3.14.03</t>
  </si>
  <si>
    <t>Experiment File Path:</t>
  </si>
  <si>
    <t>\\inl-fps01\Data\Nanosafety\VVB\SynergyH1\PB val\20230802_PBvalidation_run1.xpt</t>
  </si>
  <si>
    <t>Protocol File Path:</t>
  </si>
  <si>
    <t>DB:\Protocols\PrestoBlue fluo abs.prt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</si>
  <si>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</si>
  <si>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</si>
  <si>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</si>
  <si>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</si>
  <si>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</si>
  <si>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</si>
  <si>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</si>
  <si>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</si>
  <si>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</si>
  <si>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</si>
  <si>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</si>
  <si>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</si>
  <si>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</si>
  <si>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</si>
  <si>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</si>
  <si>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</si>
  <si>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570, 600</t>
  </si>
  <si>
    <t>Pathlength Correction: 570 / 600</t>
  </si>
  <si>
    <t xml:space="preserve">    Absorbance at 1 cm: 0.18</t>
  </si>
  <si>
    <t>Read Speed: Normal,  Delay: 100 msec,  Measurements/Data Point: 8</t>
  </si>
  <si>
    <t>Fluorescence Endpoint</t>
  </si>
  <si>
    <t>Filter Set 1</t>
  </si>
  <si>
    <t xml:space="preserve">    Excitation: 560,  Emission: 590</t>
  </si>
  <si>
    <t xml:space="preserve">    Optics: Top,  Gain: 70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</si>
  <si>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</si>
  <si>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</si>
  <si>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</si>
  <si>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</si>
  <si>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</si>
  <si>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</si>
  <si>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Read 1:570 [Test]</t>
  </si>
  <si>
    <t>Read 1:600 [Ref]</t>
  </si>
  <si>
    <t>Read 1:Pathlength</t>
  </si>
  <si>
    <t>Read 1:570</t>
  </si>
  <si>
    <t>Read 1:600</t>
  </si>
  <si>
    <t>Read 2:560,590</t>
  </si>
  <si>
    <t>Corrected [Read 1:570]</t>
  </si>
  <si>
    <t>Corrected [Read 1:600]</t>
  </si>
  <si>
    <t>B</t>
  </si>
  <si>
    <t>C</t>
  </si>
  <si>
    <t>D</t>
  </si>
  <si>
    <t>E</t>
  </si>
  <si>
    <t>F</t>
  </si>
  <si>
    <t>G</t>
  </si>
  <si>
    <t>H</t>
  </si>
  <si>
    <t>Staurosporine concentration nM</t>
  </si>
  <si>
    <t>blank</t>
  </si>
  <si>
    <t>TX100_0.1%</t>
  </si>
  <si>
    <t>average</t>
  </si>
  <si>
    <t>intra-day precision (%CV)</t>
  </si>
  <si>
    <t>SD</t>
  </si>
  <si>
    <t>CV</t>
  </si>
  <si>
    <t>%CTR</t>
  </si>
  <si>
    <t>High %CV values are expected for low analyte concentrations</t>
  </si>
  <si>
    <t>SUB 570-600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</si>
</sst>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8"/>
      <color rgb="FF27413E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5"/>
      <name val="Arial"/>
      <family val="2"/>
    </font>
    <font>
      <sz val="10"/>
      <name val="Arial"/>
      <family val="2"/>
    </font>
    <font>
      <b/>
      <sz val="10"/>
      <color rgb="FF27413E"/>
      <name val="Arial"/>
      <family val="2"/>
    </font>
    <font>
      <b/>
      <sz val="8"/>
      <color rgb="FF27413E"/>
      <name val="Arial"/>
      <family val="2"/>
    </font>
    <font>
      <b/>
      <sz val="8"/>
      <name val="Arial"/>
      <family val="2"/>
    </font>
    <font>
      <b/>
      <sz val="10"/>
      <color rgb="FF00B05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 vertical="center" wrapText="1"/>
    </xf>
    <xf numFmtId="2" fontId="6" fillId="17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/>
    <xf numFmtId="0" fontId="8" fillId="18" borderId="0" xfId="0" applyFont="1" applyFill="1" applyAlignment="1">
      <alignment horizontal="center" vertical="center" wrapText="1"/>
    </xf>
    <xf numFmtId="2" fontId="0" fillId="19" borderId="0" xfId="0" applyNumberFormat="1" applyFill="1"/>
    <xf numFmtId="2" fontId="9" fillId="18" borderId="0" xfId="0" applyNumberFormat="1" applyFont="1" applyFill="1" applyAlignment="1">
      <alignment horizontal="center"/>
    </xf>
    <xf numFmtId="0" fontId="0" fillId="20" borderId="0" xfId="0" applyFill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3" fillId="21" borderId="0" xfId="0" applyFont="1" applyFill="1" applyAlignment="1">
      <alignment horizontal="center" vertical="center" wrapText="1"/>
    </xf>
    <xf numFmtId="2" fontId="9" fillId="21" borderId="0" xfId="0" applyNumberFormat="1" applyFont="1" applyFill="1"/>
    <xf numFmtId="2" fontId="10" fillId="0" borderId="0" xfId="0" applyNumberFormat="1" applyFont="1"/>
    <xf numFmtId="2" fontId="11" fillId="18" borderId="0" xfId="0" applyNumberFormat="1" applyFont="1" applyFill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5" fillId="17" borderId="5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0" fillId="0" borderId="0" xfId="0" applyNumberFormat="1"/>
    <xf numFmtId="0" fontId="8" fillId="22" borderId="0" xfId="0" applyFont="1" applyFill="1" applyAlignment="1">
      <alignment horizontal="center" vertical="center" wrapText="1"/>
    </xf>
    <xf numFmtId="2" fontId="0" fillId="23" borderId="0" xfId="0" applyNumberFormat="1" applyFill="1"/>
    <xf numFmtId="2" fontId="9" fillId="23" borderId="0" xfId="0" applyNumberFormat="1" applyFont="1" applyFill="1" applyAlignment="1">
      <alignment horizontal="center"/>
    </xf>
    <xf numFmtId="0" fontId="11" fillId="0" borderId="0" xfId="0" applyFont="1" applyAlignment="1">
      <alignment vertical="center" wrapText="1"/>
    </xf>
    <xf numFmtId="0" fontId="3" fillId="22" borderId="0" xfId="0" applyFont="1" applyFill="1" applyAlignment="1">
      <alignment horizontal="center" vertical="center" wrapText="1"/>
    </xf>
    <xf numFmtId="2" fontId="9" fillId="22" borderId="0" xfId="0" applyNumberFormat="1" applyFont="1" applyFill="1"/>
    <xf numFmtId="2" fontId="11" fillId="2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 wrapTex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0"/>
  <sheetViews>
    <sheetView workbookViewId="0">
      <selection activeCell="B36" sqref="B36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45140</v>
      </c>
    </row>
    <row r="8" spans="1:2" x14ac:dyDescent="0.15">
      <c r="A8" t="s">
        <v>9</v>
      </c>
      <c r="B8" s="2">
        <v>0.68440972222222218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258527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2" x14ac:dyDescent="0.15">
      <c r="B17" t="s">
        <v>21</v>
      </c>
    </row>
    <row r="18" spans="1:2" x14ac:dyDescent="0.15">
      <c r="B18" t="s">
        <v>22</v>
      </c>
    </row>
    <row r="19" spans="1:2" x14ac:dyDescent="0.15">
      <c r="B19" t="s">
        <v>23</v>
      </c>
    </row>
    <row r="20" spans="1:2" x14ac:dyDescent="0.15">
      <c r="B20" t="s">
        <v>24</v>
      </c>
    </row>
    <row r="21" spans="1:2" x14ac:dyDescent="0.15">
      <c r="B21" t="s">
        <v>25</v>
      </c>
    </row>
    <row r="22" spans="1:2" x14ac:dyDescent="0.15">
      <c r="A22" t="s">
        <v>19</v>
      </c>
      <c r="B22" t="s">
        <v>26</v>
      </c>
    </row>
    <row r="23" spans="1:2" x14ac:dyDescent="0.15">
      <c r="B23" t="s">
        <v>21</v>
      </c>
    </row>
    <row r="24" spans="1:2" x14ac:dyDescent="0.15">
      <c r="B24" t="s">
        <v>27</v>
      </c>
    </row>
    <row r="25" spans="1:2" x14ac:dyDescent="0.15">
      <c r="B25" t="s">
        <v>28</v>
      </c>
    </row>
    <row r="26" spans="1:2" x14ac:dyDescent="0.15">
      <c r="B26" t="s">
        <v>29</v>
      </c>
    </row>
    <row r="27" spans="1:2" x14ac:dyDescent="0.15">
      <c r="B27" t="s">
        <v>30</v>
      </c>
    </row>
    <row r="28" spans="1:2" x14ac:dyDescent="0.15">
      <c r="B28" t="s">
        <v>31</v>
      </c>
    </row>
    <row r="29" spans="1:2" x14ac:dyDescent="0.15">
      <c r="B29" t="s">
        <v>32</v>
      </c>
    </row>
    <row r="31" spans="1:2" ht="14" x14ac:dyDescent="0.15">
      <c r="A31" s="3" t="s">
        <v>33</v>
      </c>
      <c r="B31" s="4"/>
    </row>
    <row r="32" spans="1:2" x14ac:dyDescent="0.15">
      <c r="A32" t="s">
        <v>34</v>
      </c>
      <c r="B32">
        <v>23.7</v>
      </c>
    </row>
    <row r="33" spans="1:15" x14ac:dyDescent="0.15">
      <c r="A33" t="s">
        <v>34</v>
      </c>
      <c r="B33">
        <v>23.7</v>
      </c>
    </row>
    <row r="34" spans="1:15" x14ac:dyDescent="0.15">
      <c r="A34" t="s">
        <v>34</v>
      </c>
      <c r="B34">
        <v>23.8</v>
      </c>
    </row>
    <row r="36" spans="1:15" x14ac:dyDescent="0.1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  <c r="I36" s="6">
        <v>7</v>
      </c>
      <c r="J36" s="6">
        <v>8</v>
      </c>
      <c r="K36" s="6">
        <v>9</v>
      </c>
      <c r="L36" s="6">
        <v>10</v>
      </c>
      <c r="M36" s="6">
        <v>11</v>
      </c>
      <c r="N36" s="6">
        <v>12</v>
      </c>
    </row>
    <row r="37" spans="1:15" ht="24" x14ac:dyDescent="0.15">
      <c r="B37" s="36" t="s">
        <v>35</v>
      </c>
      <c r="C37" s="7">
        <v>0.111</v>
      </c>
      <c r="D37" s="8">
        <v>0.30299999999999999</v>
      </c>
      <c r="E37" s="9">
        <v>0.25900000000000001</v>
      </c>
      <c r="F37" s="10">
        <v>0.503</v>
      </c>
      <c r="G37" s="9">
        <v>0.221</v>
      </c>
      <c r="H37" s="8">
        <v>0.309</v>
      </c>
      <c r="I37" s="7">
        <v>0.157</v>
      </c>
      <c r="J37" s="11">
        <v>0.433</v>
      </c>
      <c r="K37" s="10">
        <v>0.52700000000000002</v>
      </c>
      <c r="L37" s="12">
        <v>0.85199999999999998</v>
      </c>
      <c r="M37" s="10">
        <v>0.505</v>
      </c>
      <c r="N37" s="7">
        <v>0.115</v>
      </c>
      <c r="O37" s="13" t="s">
        <v>36</v>
      </c>
    </row>
    <row r="38" spans="1:15" ht="24" x14ac:dyDescent="0.15">
      <c r="B38" s="37"/>
      <c r="C38" s="14">
        <v>0.121</v>
      </c>
      <c r="D38" s="15">
        <v>0.32400000000000001</v>
      </c>
      <c r="E38" s="16">
        <v>0.27</v>
      </c>
      <c r="F38" s="17">
        <v>0.54200000000000004</v>
      </c>
      <c r="G38" s="16">
        <v>0.23100000000000001</v>
      </c>
      <c r="H38" s="15">
        <v>0.32400000000000001</v>
      </c>
      <c r="I38" s="14">
        <v>0.16400000000000001</v>
      </c>
      <c r="J38" s="18">
        <v>0.44800000000000001</v>
      </c>
      <c r="K38" s="17">
        <v>0.54800000000000004</v>
      </c>
      <c r="L38" s="19">
        <v>0.89500000000000002</v>
      </c>
      <c r="M38" s="17">
        <v>0.53800000000000003</v>
      </c>
      <c r="N38" s="14">
        <v>0.124</v>
      </c>
      <c r="O38" s="13" t="s">
        <v>37</v>
      </c>
    </row>
    <row r="39" spans="1:15" ht="24" x14ac:dyDescent="0.15">
      <c r="B39" s="37"/>
      <c r="C39" s="20">
        <v>-5.5E-2</v>
      </c>
      <c r="D39" s="20">
        <v>-0.113</v>
      </c>
      <c r="E39" s="20">
        <v>-6.0999999999999999E-2</v>
      </c>
      <c r="F39" s="15">
        <v>-0.217</v>
      </c>
      <c r="G39" s="20">
        <v>-5.2999999999999999E-2</v>
      </c>
      <c r="H39" s="20">
        <v>-7.9000000000000001E-2</v>
      </c>
      <c r="I39" s="20">
        <v>-3.9E-2</v>
      </c>
      <c r="J39" s="20">
        <v>-8.3000000000000004E-2</v>
      </c>
      <c r="K39" s="20">
        <v>-0.12</v>
      </c>
      <c r="L39" s="15">
        <v>-0.23799999999999999</v>
      </c>
      <c r="M39" s="15">
        <v>-0.184</v>
      </c>
      <c r="N39" s="20">
        <v>-4.8000000000000001E-2</v>
      </c>
      <c r="O39" s="13" t="s">
        <v>38</v>
      </c>
    </row>
    <row r="40" spans="1:15" x14ac:dyDescent="0.15">
      <c r="B40" s="37"/>
      <c r="C40" s="14">
        <v>0.13</v>
      </c>
      <c r="D40" s="15">
        <v>0.318</v>
      </c>
      <c r="E40" s="16">
        <v>0.27600000000000002</v>
      </c>
      <c r="F40" s="17">
        <v>0.52</v>
      </c>
      <c r="G40" s="16">
        <v>0.23400000000000001</v>
      </c>
      <c r="H40" s="15">
        <v>0.32200000000000001</v>
      </c>
      <c r="I40" s="14">
        <v>0.17100000000000001</v>
      </c>
      <c r="J40" s="21">
        <v>0.45100000000000001</v>
      </c>
      <c r="K40" s="17">
        <v>0.53800000000000003</v>
      </c>
      <c r="L40" s="19">
        <v>0.86799999999999999</v>
      </c>
      <c r="M40" s="17">
        <v>0.52800000000000002</v>
      </c>
      <c r="N40" s="14">
        <v>0.13</v>
      </c>
      <c r="O40" s="13" t="s">
        <v>39</v>
      </c>
    </row>
    <row r="41" spans="1:15" x14ac:dyDescent="0.15">
      <c r="B41" s="37"/>
      <c r="C41" s="14">
        <v>0.13700000000000001</v>
      </c>
      <c r="D41" s="15">
        <v>0.34399999999999997</v>
      </c>
      <c r="E41" s="16">
        <v>0.28699999999999998</v>
      </c>
      <c r="F41" s="17">
        <v>0.55800000000000005</v>
      </c>
      <c r="G41" s="16">
        <v>0.24399999999999999</v>
      </c>
      <c r="H41" s="15">
        <v>0.32500000000000001</v>
      </c>
      <c r="I41" s="14">
        <v>0.17499999999999999</v>
      </c>
      <c r="J41" s="18">
        <v>0.45600000000000002</v>
      </c>
      <c r="K41" s="17">
        <v>0.55700000000000005</v>
      </c>
      <c r="L41" s="19">
        <v>0.90100000000000002</v>
      </c>
      <c r="M41" s="17">
        <v>0.55600000000000005</v>
      </c>
      <c r="N41" s="14">
        <v>0.13500000000000001</v>
      </c>
      <c r="O41" s="13" t="s">
        <v>40</v>
      </c>
    </row>
    <row r="42" spans="1:15" ht="24" x14ac:dyDescent="0.15">
      <c r="B42" s="37"/>
      <c r="C42" s="14">
        <v>4</v>
      </c>
      <c r="D42" s="14">
        <v>4</v>
      </c>
      <c r="E42" s="14">
        <v>0</v>
      </c>
      <c r="F42" s="14">
        <v>4</v>
      </c>
      <c r="G42" s="14">
        <v>0</v>
      </c>
      <c r="H42" s="14">
        <v>0</v>
      </c>
      <c r="I42" s="14">
        <v>2</v>
      </c>
      <c r="J42" s="14">
        <v>5</v>
      </c>
      <c r="K42" s="14">
        <v>10</v>
      </c>
      <c r="L42" s="14">
        <v>4</v>
      </c>
      <c r="M42" s="14">
        <v>4</v>
      </c>
      <c r="N42" s="14">
        <v>1</v>
      </c>
      <c r="O42" s="13" t="s">
        <v>41</v>
      </c>
    </row>
    <row r="43" spans="1:15" ht="24" x14ac:dyDescent="0.15">
      <c r="B43" s="37"/>
      <c r="C43" s="22">
        <v>-2.371</v>
      </c>
      <c r="D43" s="22">
        <v>-2.806</v>
      </c>
      <c r="E43" s="22">
        <v>-4.5579999999999998</v>
      </c>
      <c r="F43" s="22">
        <v>-2.4</v>
      </c>
      <c r="G43" s="22">
        <v>-4.3970000000000002</v>
      </c>
      <c r="H43" s="22">
        <v>-4.0579999999999998</v>
      </c>
      <c r="I43" s="22">
        <v>-4.33</v>
      </c>
      <c r="J43" s="22">
        <v>-5.407</v>
      </c>
      <c r="K43" s="22">
        <v>-4.4870000000000001</v>
      </c>
      <c r="L43" s="22">
        <v>-3.65</v>
      </c>
      <c r="M43" s="22">
        <v>-2.8639999999999999</v>
      </c>
      <c r="N43" s="22">
        <v>-2.7269999999999999</v>
      </c>
      <c r="O43" s="13" t="s">
        <v>42</v>
      </c>
    </row>
    <row r="44" spans="1:15" ht="24" x14ac:dyDescent="0.15">
      <c r="B44" s="38"/>
      <c r="C44" s="23">
        <v>-2.4910000000000001</v>
      </c>
      <c r="D44" s="23">
        <v>-3.0369999999999999</v>
      </c>
      <c r="E44" s="23">
        <v>-4.7439999999999998</v>
      </c>
      <c r="F44" s="23">
        <v>-2.5760000000000001</v>
      </c>
      <c r="G44" s="23">
        <v>-4.569</v>
      </c>
      <c r="H44" s="23">
        <v>-4.0910000000000002</v>
      </c>
      <c r="I44" s="23">
        <v>-4.4260000000000002</v>
      </c>
      <c r="J44" s="23">
        <v>-5.4660000000000002</v>
      </c>
      <c r="K44" s="23">
        <v>-4.6420000000000003</v>
      </c>
      <c r="L44" s="23">
        <v>-3.7909999999999999</v>
      </c>
      <c r="M44" s="23">
        <v>-3.0129999999999999</v>
      </c>
      <c r="N44" s="23">
        <v>-2.8340000000000001</v>
      </c>
      <c r="O44" s="13" t="s">
        <v>43</v>
      </c>
    </row>
    <row r="45" spans="1:15" ht="24" x14ac:dyDescent="0.15">
      <c r="B45" s="36" t="s">
        <v>44</v>
      </c>
      <c r="C45" s="10">
        <v>0.53200000000000003</v>
      </c>
      <c r="D45" s="24">
        <v>0.75800000000000001</v>
      </c>
      <c r="E45" s="24">
        <v>0.79600000000000004</v>
      </c>
      <c r="F45" s="12">
        <v>0.84099999999999997</v>
      </c>
      <c r="G45" s="12">
        <v>0.8</v>
      </c>
      <c r="H45" s="12">
        <v>0.82599999999999996</v>
      </c>
      <c r="I45" s="24">
        <v>0.78800000000000003</v>
      </c>
      <c r="J45" s="24">
        <v>0.76400000000000001</v>
      </c>
      <c r="K45" s="24">
        <v>0.77600000000000002</v>
      </c>
      <c r="L45" s="25">
        <v>0.69699999999999995</v>
      </c>
      <c r="M45" s="26">
        <v>0.54100000000000004</v>
      </c>
      <c r="N45" s="27">
        <v>0.17499999999999999</v>
      </c>
      <c r="O45" s="13" t="s">
        <v>36</v>
      </c>
    </row>
    <row r="46" spans="1:15" ht="24" x14ac:dyDescent="0.15">
      <c r="B46" s="37"/>
      <c r="C46" s="28">
        <v>0.66900000000000004</v>
      </c>
      <c r="D46" s="21">
        <v>0.505</v>
      </c>
      <c r="E46" s="17">
        <v>0.54400000000000004</v>
      </c>
      <c r="F46" s="29">
        <v>0.60199999999999998</v>
      </c>
      <c r="G46" s="29">
        <v>0.58399999999999996</v>
      </c>
      <c r="H46" s="29">
        <v>0.61599999999999999</v>
      </c>
      <c r="I46" s="28">
        <v>0.63100000000000001</v>
      </c>
      <c r="J46" s="29">
        <v>0.58899999999999997</v>
      </c>
      <c r="K46" s="29">
        <v>0.59799999999999998</v>
      </c>
      <c r="L46" s="30">
        <v>0.67400000000000004</v>
      </c>
      <c r="M46" s="30">
        <v>0.69499999999999995</v>
      </c>
      <c r="N46" s="31">
        <v>0.182</v>
      </c>
      <c r="O46" s="13" t="s">
        <v>37</v>
      </c>
    </row>
    <row r="47" spans="1:15" ht="24" x14ac:dyDescent="0.15">
      <c r="B47" s="37"/>
      <c r="C47" s="14">
        <v>-0.76200000000000001</v>
      </c>
      <c r="D47" s="32">
        <v>1.4059999999999999</v>
      </c>
      <c r="E47" s="32">
        <v>1.399</v>
      </c>
      <c r="F47" s="33">
        <v>1.3320000000000001</v>
      </c>
      <c r="G47" s="33">
        <v>1.2030000000000001</v>
      </c>
      <c r="H47" s="30">
        <v>1.1639999999999999</v>
      </c>
      <c r="I47" s="28">
        <v>0.877</v>
      </c>
      <c r="J47" s="28">
        <v>0.97399999999999998</v>
      </c>
      <c r="K47" s="30">
        <v>0.98599999999999999</v>
      </c>
      <c r="L47" s="18">
        <v>0.123</v>
      </c>
      <c r="M47" s="14">
        <v>-0.85399999999999998</v>
      </c>
      <c r="N47" s="20">
        <v>-3.6999999999999998E-2</v>
      </c>
      <c r="O47" s="13" t="s">
        <v>38</v>
      </c>
    </row>
    <row r="48" spans="1:15" x14ac:dyDescent="0.15">
      <c r="B48" s="37"/>
      <c r="C48" s="17">
        <v>0.53500000000000003</v>
      </c>
      <c r="D48" s="32">
        <v>0.76600000000000001</v>
      </c>
      <c r="E48" s="32">
        <v>0.78</v>
      </c>
      <c r="F48" s="19">
        <v>0.81899999999999995</v>
      </c>
      <c r="G48" s="32">
        <v>0.8</v>
      </c>
      <c r="H48" s="19">
        <v>0.82</v>
      </c>
      <c r="I48" s="32">
        <v>0.78600000000000003</v>
      </c>
      <c r="J48" s="32">
        <v>0.77200000000000002</v>
      </c>
      <c r="K48" s="32">
        <v>0.78300000000000003</v>
      </c>
      <c r="L48" s="30">
        <v>0.7</v>
      </c>
      <c r="M48" s="17">
        <v>0.54800000000000004</v>
      </c>
      <c r="N48" s="31">
        <v>0.188</v>
      </c>
      <c r="O48" s="13" t="s">
        <v>39</v>
      </c>
    </row>
    <row r="49" spans="2:15" x14ac:dyDescent="0.15">
      <c r="B49" s="37"/>
      <c r="C49" s="28">
        <v>0.67300000000000004</v>
      </c>
      <c r="D49" s="21">
        <v>0.51</v>
      </c>
      <c r="E49" s="17">
        <v>0.55200000000000005</v>
      </c>
      <c r="F49" s="29">
        <v>0.60799999999999998</v>
      </c>
      <c r="G49" s="29">
        <v>0.58599999999999997</v>
      </c>
      <c r="H49" s="29">
        <v>0.622</v>
      </c>
      <c r="I49" s="28">
        <v>0.628</v>
      </c>
      <c r="J49" s="29">
        <v>0.59</v>
      </c>
      <c r="K49" s="29">
        <v>0.60199999999999998</v>
      </c>
      <c r="L49" s="28">
        <v>0.67500000000000004</v>
      </c>
      <c r="M49" s="30">
        <v>0.70099999999999996</v>
      </c>
      <c r="N49" s="31">
        <v>0.192</v>
      </c>
      <c r="O49" s="13" t="s">
        <v>40</v>
      </c>
    </row>
    <row r="50" spans="2:15" ht="24" x14ac:dyDescent="0.15">
      <c r="B50" s="37"/>
      <c r="C50" s="14">
        <v>1068</v>
      </c>
      <c r="D50" s="19">
        <v>24742</v>
      </c>
      <c r="E50" s="32">
        <v>23972</v>
      </c>
      <c r="F50" s="33">
        <v>21126</v>
      </c>
      <c r="G50" s="33">
        <v>20971</v>
      </c>
      <c r="H50" s="30">
        <v>20486</v>
      </c>
      <c r="I50" s="28">
        <v>18280</v>
      </c>
      <c r="J50" s="28">
        <v>18860</v>
      </c>
      <c r="K50" s="28">
        <v>18787</v>
      </c>
      <c r="L50" s="18">
        <v>9881</v>
      </c>
      <c r="M50" s="14">
        <v>1714</v>
      </c>
      <c r="N50" s="14">
        <v>2</v>
      </c>
      <c r="O50" s="13" t="s">
        <v>41</v>
      </c>
    </row>
    <row r="51" spans="2:15" ht="24" x14ac:dyDescent="0.15">
      <c r="B51" s="37"/>
      <c r="C51" s="22">
        <v>-0.70199999999999996</v>
      </c>
      <c r="D51" s="22">
        <v>0.54500000000000004</v>
      </c>
      <c r="E51" s="22">
        <v>0.55700000000000005</v>
      </c>
      <c r="F51" s="22">
        <v>0.61499999999999999</v>
      </c>
      <c r="G51" s="22">
        <v>0.66500000000000004</v>
      </c>
      <c r="H51" s="22">
        <v>0.70399999999999996</v>
      </c>
      <c r="I51" s="22">
        <v>0.89600000000000002</v>
      </c>
      <c r="J51" s="22">
        <v>0.79300000000000004</v>
      </c>
      <c r="K51" s="22">
        <v>0.79400000000000004</v>
      </c>
      <c r="L51" s="22">
        <v>5.6980000000000004</v>
      </c>
      <c r="M51" s="22">
        <v>-0.64200000000000002</v>
      </c>
      <c r="N51" s="22">
        <v>-5.1269999999999998</v>
      </c>
      <c r="O51" s="13" t="s">
        <v>42</v>
      </c>
    </row>
    <row r="52" spans="2:15" ht="24" x14ac:dyDescent="0.15">
      <c r="B52" s="38"/>
      <c r="C52" s="23">
        <v>-0.88400000000000001</v>
      </c>
      <c r="D52" s="23">
        <v>0.36199999999999999</v>
      </c>
      <c r="E52" s="23">
        <v>0.39400000000000002</v>
      </c>
      <c r="F52" s="23">
        <v>0.45600000000000002</v>
      </c>
      <c r="G52" s="23">
        <v>0.48699999999999999</v>
      </c>
      <c r="H52" s="23">
        <v>0.53400000000000003</v>
      </c>
      <c r="I52" s="23">
        <v>0.71599999999999997</v>
      </c>
      <c r="J52" s="23">
        <v>0.60599999999999998</v>
      </c>
      <c r="K52" s="23">
        <v>0.61099999999999999</v>
      </c>
      <c r="L52" s="23">
        <v>5.5010000000000003</v>
      </c>
      <c r="M52" s="23">
        <v>-0.82099999999999995</v>
      </c>
      <c r="N52" s="23">
        <v>-5.2389999999999999</v>
      </c>
      <c r="O52" s="13" t="s">
        <v>43</v>
      </c>
    </row>
    <row r="53" spans="2:15" ht="24" x14ac:dyDescent="0.15">
      <c r="B53" s="36" t="s">
        <v>45</v>
      </c>
      <c r="C53" s="26">
        <v>0.58699999999999997</v>
      </c>
      <c r="D53" s="12">
        <v>0.81499999999999995</v>
      </c>
      <c r="E53" s="12">
        <v>0.82399999999999995</v>
      </c>
      <c r="F53" s="12">
        <v>0.82899999999999996</v>
      </c>
      <c r="G53" s="24">
        <v>0.75900000000000001</v>
      </c>
      <c r="H53" s="12">
        <v>0.81</v>
      </c>
      <c r="I53" s="12">
        <v>0.82199999999999995</v>
      </c>
      <c r="J53" s="12">
        <v>0.81299999999999994</v>
      </c>
      <c r="K53" s="24">
        <v>0.76700000000000002</v>
      </c>
      <c r="L53" s="25">
        <v>0.70099999999999996</v>
      </c>
      <c r="M53" s="26">
        <v>0.58599999999999997</v>
      </c>
      <c r="N53" s="7">
        <v>0.13500000000000001</v>
      </c>
      <c r="O53" s="13" t="s">
        <v>36</v>
      </c>
    </row>
    <row r="54" spans="2:15" ht="24" x14ac:dyDescent="0.15">
      <c r="B54" s="37"/>
      <c r="C54" s="33">
        <v>0.73399999999999999</v>
      </c>
      <c r="D54" s="17">
        <v>0.51700000000000002</v>
      </c>
      <c r="E54" s="17">
        <v>0.55600000000000005</v>
      </c>
      <c r="F54" s="29">
        <v>0.58599999999999997</v>
      </c>
      <c r="G54" s="29">
        <v>0.59199999999999997</v>
      </c>
      <c r="H54" s="28">
        <v>0.62</v>
      </c>
      <c r="I54" s="28">
        <v>0.64500000000000002</v>
      </c>
      <c r="J54" s="28">
        <v>0.61899999999999999</v>
      </c>
      <c r="K54" s="29">
        <v>0.60199999999999998</v>
      </c>
      <c r="L54" s="30">
        <v>0.68500000000000005</v>
      </c>
      <c r="M54" s="33">
        <v>0.747</v>
      </c>
      <c r="N54" s="14">
        <v>0.14299999999999999</v>
      </c>
      <c r="O54" s="13" t="s">
        <v>37</v>
      </c>
    </row>
    <row r="55" spans="2:15" ht="24" x14ac:dyDescent="0.15">
      <c r="B55" s="37"/>
      <c r="C55" s="14">
        <v>-0.81699999999999995</v>
      </c>
      <c r="D55" s="19">
        <v>1.653</v>
      </c>
      <c r="E55" s="32">
        <v>1.4850000000000001</v>
      </c>
      <c r="F55" s="33">
        <v>1.351</v>
      </c>
      <c r="G55" s="28">
        <v>0.92900000000000005</v>
      </c>
      <c r="H55" s="30">
        <v>1.0580000000000001</v>
      </c>
      <c r="I55" s="28">
        <v>0.98299999999999998</v>
      </c>
      <c r="J55" s="30">
        <v>1.079</v>
      </c>
      <c r="K55" s="28">
        <v>0.91700000000000004</v>
      </c>
      <c r="L55" s="18">
        <v>8.8999999999999996E-2</v>
      </c>
      <c r="M55" s="14">
        <v>-0.89700000000000002</v>
      </c>
      <c r="N55" s="20">
        <v>-4.7E-2</v>
      </c>
      <c r="O55" s="13" t="s">
        <v>38</v>
      </c>
    </row>
    <row r="56" spans="2:15" x14ac:dyDescent="0.15">
      <c r="B56" s="37"/>
      <c r="C56" s="28">
        <v>0.60499999999999998</v>
      </c>
      <c r="D56" s="32">
        <v>0.81399999999999995</v>
      </c>
      <c r="E56" s="32">
        <v>0.80800000000000005</v>
      </c>
      <c r="F56" s="19">
        <v>0.81899999999999995</v>
      </c>
      <c r="G56" s="32">
        <v>0.76600000000000001</v>
      </c>
      <c r="H56" s="32">
        <v>0.81</v>
      </c>
      <c r="I56" s="32">
        <v>0.81200000000000006</v>
      </c>
      <c r="J56" s="32">
        <v>0.80300000000000005</v>
      </c>
      <c r="K56" s="33">
        <v>0.755</v>
      </c>
      <c r="L56" s="30">
        <v>0.7</v>
      </c>
      <c r="M56" s="29">
        <v>0.59699999999999998</v>
      </c>
      <c r="N56" s="14">
        <v>0.15</v>
      </c>
      <c r="O56" s="13" t="s">
        <v>39</v>
      </c>
    </row>
    <row r="57" spans="2:15" x14ac:dyDescent="0.15">
      <c r="B57" s="37"/>
      <c r="C57" s="33">
        <v>0.746</v>
      </c>
      <c r="D57" s="17">
        <v>0.51900000000000002</v>
      </c>
      <c r="E57" s="17">
        <v>0.56000000000000005</v>
      </c>
      <c r="F57" s="29">
        <v>0.59</v>
      </c>
      <c r="G57" s="29">
        <v>0.59299999999999997</v>
      </c>
      <c r="H57" s="29">
        <v>0.61899999999999999</v>
      </c>
      <c r="I57" s="28">
        <v>0.64400000000000002</v>
      </c>
      <c r="J57" s="29">
        <v>0.622</v>
      </c>
      <c r="K57" s="29">
        <v>0.60499999999999998</v>
      </c>
      <c r="L57" s="30">
        <v>0.69199999999999995</v>
      </c>
      <c r="M57" s="33">
        <v>0.75800000000000001</v>
      </c>
      <c r="N57" s="14">
        <v>0.155</v>
      </c>
      <c r="O57" s="13" t="s">
        <v>40</v>
      </c>
    </row>
    <row r="58" spans="2:15" ht="24" x14ac:dyDescent="0.15">
      <c r="B58" s="37"/>
      <c r="C58" s="14">
        <v>1106</v>
      </c>
      <c r="D58" s="19">
        <v>25191</v>
      </c>
      <c r="E58" s="32">
        <v>24373</v>
      </c>
      <c r="F58" s="33">
        <v>21866</v>
      </c>
      <c r="G58" s="30">
        <v>19365</v>
      </c>
      <c r="H58" s="30">
        <v>20162</v>
      </c>
      <c r="I58" s="28">
        <v>18091</v>
      </c>
      <c r="J58" s="28">
        <v>18549</v>
      </c>
      <c r="K58" s="28">
        <v>17841</v>
      </c>
      <c r="L58" s="18">
        <v>10637</v>
      </c>
      <c r="M58" s="14">
        <v>1493</v>
      </c>
      <c r="N58" s="14">
        <v>6</v>
      </c>
      <c r="O58" s="13" t="s">
        <v>41</v>
      </c>
    </row>
    <row r="59" spans="2:15" ht="24" x14ac:dyDescent="0.15">
      <c r="B59" s="37"/>
      <c r="C59" s="22">
        <v>-0.74099999999999999</v>
      </c>
      <c r="D59" s="22">
        <v>0.49299999999999999</v>
      </c>
      <c r="E59" s="22">
        <v>0.54400000000000004</v>
      </c>
      <c r="F59" s="22">
        <v>0.60599999999999998</v>
      </c>
      <c r="G59" s="22">
        <v>0.82399999999999995</v>
      </c>
      <c r="H59" s="22">
        <v>0.76500000000000001</v>
      </c>
      <c r="I59" s="22">
        <v>0.82599999999999996</v>
      </c>
      <c r="J59" s="22">
        <v>0.745</v>
      </c>
      <c r="K59" s="22">
        <v>0.82399999999999995</v>
      </c>
      <c r="L59" s="22">
        <v>7.8730000000000002</v>
      </c>
      <c r="M59" s="22">
        <v>-0.66500000000000004</v>
      </c>
      <c r="N59" s="22">
        <v>-3.2160000000000002</v>
      </c>
      <c r="O59" s="13" t="s">
        <v>42</v>
      </c>
    </row>
    <row r="60" spans="2:15" ht="24" x14ac:dyDescent="0.15">
      <c r="B60" s="38"/>
      <c r="C60" s="23">
        <v>-0.91400000000000003</v>
      </c>
      <c r="D60" s="23">
        <v>0.314</v>
      </c>
      <c r="E60" s="23">
        <v>0.377</v>
      </c>
      <c r="F60" s="23">
        <v>0.436</v>
      </c>
      <c r="G60" s="23">
        <v>0.63700000000000001</v>
      </c>
      <c r="H60" s="23">
        <v>0.58499999999999996</v>
      </c>
      <c r="I60" s="23">
        <v>0.65500000000000003</v>
      </c>
      <c r="J60" s="23">
        <v>0.57699999999999996</v>
      </c>
      <c r="K60" s="23">
        <v>0.65900000000000003</v>
      </c>
      <c r="L60" s="23">
        <v>7.7830000000000004</v>
      </c>
      <c r="M60" s="23">
        <v>-0.84499999999999997</v>
      </c>
      <c r="N60" s="23">
        <v>-3.3149999999999999</v>
      </c>
      <c r="O60" s="13" t="s">
        <v>43</v>
      </c>
    </row>
    <row r="61" spans="2:15" ht="24" x14ac:dyDescent="0.15">
      <c r="B61" s="36" t="s">
        <v>46</v>
      </c>
      <c r="C61" s="10">
        <v>0.52</v>
      </c>
      <c r="D61" s="12">
        <v>0.82799999999999996</v>
      </c>
      <c r="E61" s="12">
        <v>0.80300000000000005</v>
      </c>
      <c r="F61" s="12">
        <v>0.8</v>
      </c>
      <c r="G61" s="24">
        <v>0.79600000000000004</v>
      </c>
      <c r="H61" s="12">
        <v>0.82299999999999995</v>
      </c>
      <c r="I61" s="12">
        <v>0.81</v>
      </c>
      <c r="J61" s="12">
        <v>0.82199999999999995</v>
      </c>
      <c r="K61" s="12">
        <v>0.83099999999999996</v>
      </c>
      <c r="L61" s="25">
        <v>0.71599999999999997</v>
      </c>
      <c r="M61" s="34">
        <v>0.59299999999999997</v>
      </c>
      <c r="N61" s="7">
        <v>0.152</v>
      </c>
      <c r="O61" s="13" t="s">
        <v>36</v>
      </c>
    </row>
    <row r="62" spans="2:15" ht="24" x14ac:dyDescent="0.15">
      <c r="B62" s="37"/>
      <c r="C62" s="28">
        <v>0.65700000000000003</v>
      </c>
      <c r="D62" s="17">
        <v>0.51400000000000001</v>
      </c>
      <c r="E62" s="17">
        <v>0.55800000000000005</v>
      </c>
      <c r="F62" s="29">
        <v>0.58799999999999997</v>
      </c>
      <c r="G62" s="29">
        <v>0.60199999999999998</v>
      </c>
      <c r="H62" s="29">
        <v>0.60599999999999998</v>
      </c>
      <c r="I62" s="28">
        <v>0.628</v>
      </c>
      <c r="J62" s="28">
        <v>0.621</v>
      </c>
      <c r="K62" s="28">
        <v>0.628</v>
      </c>
      <c r="L62" s="30">
        <v>0.69799999999999995</v>
      </c>
      <c r="M62" s="33">
        <v>0.745</v>
      </c>
      <c r="N62" s="14">
        <v>0.16200000000000001</v>
      </c>
      <c r="O62" s="13" t="s">
        <v>37</v>
      </c>
    </row>
    <row r="63" spans="2:15" ht="24" x14ac:dyDescent="0.15">
      <c r="B63" s="37"/>
      <c r="C63" s="14">
        <v>-0.76100000000000001</v>
      </c>
      <c r="D63" s="19">
        <v>1.742</v>
      </c>
      <c r="E63" s="33">
        <v>1.359</v>
      </c>
      <c r="F63" s="33">
        <v>1.1759999999999999</v>
      </c>
      <c r="G63" s="30">
        <v>1.0780000000000001</v>
      </c>
      <c r="H63" s="33">
        <v>1.2070000000000001</v>
      </c>
      <c r="I63" s="30">
        <v>1.008</v>
      </c>
      <c r="J63" s="30">
        <v>1.115</v>
      </c>
      <c r="K63" s="30">
        <v>1.127</v>
      </c>
      <c r="L63" s="18">
        <v>9.8000000000000004E-2</v>
      </c>
      <c r="M63" s="14">
        <v>-0.84299999999999997</v>
      </c>
      <c r="N63" s="20">
        <v>-5.3999999999999999E-2</v>
      </c>
      <c r="O63" s="13" t="s">
        <v>38</v>
      </c>
    </row>
    <row r="64" spans="2:15" x14ac:dyDescent="0.15">
      <c r="B64" s="37"/>
      <c r="C64" s="17">
        <v>0.52400000000000002</v>
      </c>
      <c r="D64" s="32">
        <v>0.80300000000000005</v>
      </c>
      <c r="E64" s="32">
        <v>0.79400000000000004</v>
      </c>
      <c r="F64" s="32">
        <v>0.80400000000000005</v>
      </c>
      <c r="G64" s="32">
        <v>0.79</v>
      </c>
      <c r="H64" s="19">
        <v>0.81899999999999995</v>
      </c>
      <c r="I64" s="32">
        <v>0.79700000000000004</v>
      </c>
      <c r="J64" s="32">
        <v>0.81100000000000005</v>
      </c>
      <c r="K64" s="32">
        <v>0.81</v>
      </c>
      <c r="L64" s="33">
        <v>0.71099999999999997</v>
      </c>
      <c r="M64" s="29">
        <v>0.59099999999999997</v>
      </c>
      <c r="N64" s="14">
        <v>0.16900000000000001</v>
      </c>
      <c r="O64" s="13" t="s">
        <v>39</v>
      </c>
    </row>
    <row r="65" spans="2:15" x14ac:dyDescent="0.15">
      <c r="B65" s="37"/>
      <c r="C65" s="28">
        <v>0.66</v>
      </c>
      <c r="D65" s="17">
        <v>0.51800000000000002</v>
      </c>
      <c r="E65" s="17">
        <v>0.56100000000000005</v>
      </c>
      <c r="F65" s="29">
        <v>0.58899999999999997</v>
      </c>
      <c r="G65" s="29">
        <v>0.59899999999999998</v>
      </c>
      <c r="H65" s="29">
        <v>0.60399999999999998</v>
      </c>
      <c r="I65" s="28">
        <v>0.627</v>
      </c>
      <c r="J65" s="29">
        <v>0.624</v>
      </c>
      <c r="K65" s="28">
        <v>0.627</v>
      </c>
      <c r="L65" s="30">
        <v>0.70199999999999996</v>
      </c>
      <c r="M65" s="33">
        <v>0.751</v>
      </c>
      <c r="N65" s="14">
        <v>0.17599999999999999</v>
      </c>
      <c r="O65" s="13" t="s">
        <v>40</v>
      </c>
    </row>
    <row r="66" spans="2:15" ht="24" x14ac:dyDescent="0.15">
      <c r="B66" s="37"/>
      <c r="C66" s="14">
        <v>1731</v>
      </c>
      <c r="D66" s="19">
        <v>26448</v>
      </c>
      <c r="E66" s="19">
        <v>24625</v>
      </c>
      <c r="F66" s="33">
        <v>22035</v>
      </c>
      <c r="G66" s="33">
        <v>20838</v>
      </c>
      <c r="H66" s="33">
        <v>21084</v>
      </c>
      <c r="I66" s="28">
        <v>17881</v>
      </c>
      <c r="J66" s="28">
        <v>18812</v>
      </c>
      <c r="K66" s="28">
        <v>18627</v>
      </c>
      <c r="L66" s="18">
        <v>11168</v>
      </c>
      <c r="M66" s="14">
        <v>1600</v>
      </c>
      <c r="N66" s="14">
        <v>3</v>
      </c>
      <c r="O66" s="13" t="s">
        <v>41</v>
      </c>
    </row>
    <row r="67" spans="2:15" ht="24" x14ac:dyDescent="0.15">
      <c r="B67" s="37"/>
      <c r="C67" s="22">
        <v>-0.68899999999999995</v>
      </c>
      <c r="D67" s="22">
        <v>0.46100000000000002</v>
      </c>
      <c r="E67" s="22">
        <v>0.58499999999999996</v>
      </c>
      <c r="F67" s="22">
        <v>0.68400000000000005</v>
      </c>
      <c r="G67" s="22">
        <v>0.73199999999999998</v>
      </c>
      <c r="H67" s="22">
        <v>0.67800000000000005</v>
      </c>
      <c r="I67" s="22">
        <v>0.79</v>
      </c>
      <c r="J67" s="22">
        <v>0.72699999999999998</v>
      </c>
      <c r="K67" s="22">
        <v>0.71899999999999997</v>
      </c>
      <c r="L67" s="22">
        <v>7.2270000000000003</v>
      </c>
      <c r="M67" s="22">
        <v>-0.7</v>
      </c>
      <c r="N67" s="22">
        <v>-3.1110000000000002</v>
      </c>
      <c r="O67" s="13" t="s">
        <v>42</v>
      </c>
    </row>
    <row r="68" spans="2:15" ht="24" x14ac:dyDescent="0.15">
      <c r="B68" s="38"/>
      <c r="C68" s="23">
        <v>-0.86799999999999999</v>
      </c>
      <c r="D68" s="23">
        <v>0.29699999999999999</v>
      </c>
      <c r="E68" s="23">
        <v>0.41299999999999998</v>
      </c>
      <c r="F68" s="23">
        <v>0.501</v>
      </c>
      <c r="G68" s="23">
        <v>0.55500000000000005</v>
      </c>
      <c r="H68" s="23">
        <v>0.501</v>
      </c>
      <c r="I68" s="23">
        <v>0.622</v>
      </c>
      <c r="J68" s="23">
        <v>0.56000000000000005</v>
      </c>
      <c r="K68" s="23">
        <v>0.55600000000000005</v>
      </c>
      <c r="L68" s="23">
        <v>7.1360000000000001</v>
      </c>
      <c r="M68" s="23">
        <v>-0.89</v>
      </c>
      <c r="N68" s="23">
        <v>-3.2360000000000002</v>
      </c>
      <c r="O68" s="13" t="s">
        <v>43</v>
      </c>
    </row>
    <row r="69" spans="2:15" ht="24" x14ac:dyDescent="0.15">
      <c r="B69" s="36" t="s">
        <v>47</v>
      </c>
      <c r="C69" s="11">
        <v>0.47799999999999998</v>
      </c>
      <c r="D69" s="35">
        <v>0.68100000000000005</v>
      </c>
      <c r="E69" s="25">
        <v>0.74</v>
      </c>
      <c r="F69" s="25">
        <v>0.73399999999999999</v>
      </c>
      <c r="G69" s="25">
        <v>0.71599999999999997</v>
      </c>
      <c r="H69" s="25">
        <v>0.72299999999999998</v>
      </c>
      <c r="I69" s="24">
        <v>0.752</v>
      </c>
      <c r="J69" s="25">
        <v>0.72699999999999998</v>
      </c>
      <c r="K69" s="35">
        <v>0.68100000000000005</v>
      </c>
      <c r="L69" s="34">
        <v>0.61699999999999999</v>
      </c>
      <c r="M69" s="26">
        <v>0.55000000000000004</v>
      </c>
      <c r="N69" s="7">
        <v>0.156</v>
      </c>
      <c r="O69" s="13" t="s">
        <v>36</v>
      </c>
    </row>
    <row r="70" spans="2:15" ht="24" x14ac:dyDescent="0.15">
      <c r="B70" s="37"/>
      <c r="C70" s="28">
        <v>0.63100000000000001</v>
      </c>
      <c r="D70" s="17">
        <v>0.55500000000000005</v>
      </c>
      <c r="E70" s="17">
        <v>0.55700000000000005</v>
      </c>
      <c r="F70" s="29">
        <v>0.56599999999999995</v>
      </c>
      <c r="G70" s="29">
        <v>0.58599999999999997</v>
      </c>
      <c r="H70" s="29">
        <v>0.6</v>
      </c>
      <c r="I70" s="28">
        <v>0.627</v>
      </c>
      <c r="J70" s="29">
        <v>0.60799999999999998</v>
      </c>
      <c r="K70" s="28">
        <v>0.63600000000000001</v>
      </c>
      <c r="L70" s="28">
        <v>0.629</v>
      </c>
      <c r="M70" s="30">
        <v>0.71299999999999997</v>
      </c>
      <c r="N70" s="14">
        <v>0.16300000000000001</v>
      </c>
      <c r="O70" s="13" t="s">
        <v>37</v>
      </c>
    </row>
    <row r="71" spans="2:15" ht="24" x14ac:dyDescent="0.15">
      <c r="B71" s="37"/>
      <c r="C71" s="14">
        <v>-0.85399999999999998</v>
      </c>
      <c r="D71" s="29">
        <v>0.7</v>
      </c>
      <c r="E71" s="30">
        <v>1.0209999999999999</v>
      </c>
      <c r="F71" s="28">
        <v>0.93400000000000005</v>
      </c>
      <c r="G71" s="29">
        <v>0.72199999999999998</v>
      </c>
      <c r="H71" s="29">
        <v>0.68</v>
      </c>
      <c r="I71" s="29">
        <v>0.69399999999999995</v>
      </c>
      <c r="J71" s="29">
        <v>0.65700000000000003</v>
      </c>
      <c r="K71" s="21">
        <v>0.25</v>
      </c>
      <c r="L71" s="20">
        <v>-6.2E-2</v>
      </c>
      <c r="M71" s="14">
        <v>-0.90400000000000003</v>
      </c>
      <c r="N71" s="20">
        <v>-3.9E-2</v>
      </c>
      <c r="O71" s="13" t="s">
        <v>38</v>
      </c>
    </row>
    <row r="72" spans="2:15" x14ac:dyDescent="0.15">
      <c r="B72" s="37"/>
      <c r="C72" s="17">
        <v>0.505</v>
      </c>
      <c r="D72" s="30">
        <v>0.69099999999999995</v>
      </c>
      <c r="E72" s="33">
        <v>0.72099999999999997</v>
      </c>
      <c r="F72" s="33">
        <v>0.72099999999999997</v>
      </c>
      <c r="G72" s="30">
        <v>0.69399999999999995</v>
      </c>
      <c r="H72" s="30">
        <v>0.69799999999999995</v>
      </c>
      <c r="I72" s="33">
        <v>0.73899999999999999</v>
      </c>
      <c r="J72" s="33">
        <v>0.71399999999999997</v>
      </c>
      <c r="K72" s="28">
        <v>0.65400000000000003</v>
      </c>
      <c r="L72" s="29">
        <v>0.59899999999999998</v>
      </c>
      <c r="M72" s="29">
        <v>0.56399999999999995</v>
      </c>
      <c r="N72" s="14">
        <v>0.17100000000000001</v>
      </c>
      <c r="O72" s="13" t="s">
        <v>39</v>
      </c>
    </row>
    <row r="73" spans="2:15" x14ac:dyDescent="0.15">
      <c r="B73" s="37"/>
      <c r="C73" s="28">
        <v>0.64600000000000002</v>
      </c>
      <c r="D73" s="29">
        <v>0.57199999999999995</v>
      </c>
      <c r="E73" s="29">
        <v>0.57799999999999996</v>
      </c>
      <c r="F73" s="29">
        <v>0.58599999999999997</v>
      </c>
      <c r="G73" s="29">
        <v>0.59599999999999997</v>
      </c>
      <c r="H73" s="29">
        <v>0.61399999999999999</v>
      </c>
      <c r="I73" s="28">
        <v>0.64200000000000002</v>
      </c>
      <c r="J73" s="28">
        <v>0.626</v>
      </c>
      <c r="K73" s="28">
        <v>0.64500000000000002</v>
      </c>
      <c r="L73" s="28">
        <v>0.64</v>
      </c>
      <c r="M73" s="30">
        <v>0.72499999999999998</v>
      </c>
      <c r="N73" s="14">
        <v>0.17599999999999999</v>
      </c>
      <c r="O73" s="13" t="s">
        <v>40</v>
      </c>
    </row>
    <row r="74" spans="2:15" ht="24" x14ac:dyDescent="0.15">
      <c r="B74" s="37"/>
      <c r="C74" s="14">
        <v>1744</v>
      </c>
      <c r="D74" s="29">
        <v>15753</v>
      </c>
      <c r="E74" s="29">
        <v>16396</v>
      </c>
      <c r="F74" s="28">
        <v>17173</v>
      </c>
      <c r="G74" s="17">
        <v>14868</v>
      </c>
      <c r="H74" s="17">
        <v>14360</v>
      </c>
      <c r="I74" s="17">
        <v>14312</v>
      </c>
      <c r="J74" s="17">
        <v>13947</v>
      </c>
      <c r="K74" s="18">
        <v>10932</v>
      </c>
      <c r="L74" s="20">
        <v>8202</v>
      </c>
      <c r="M74" s="14">
        <v>1766</v>
      </c>
      <c r="N74" s="14">
        <v>1</v>
      </c>
      <c r="O74" s="13" t="s">
        <v>41</v>
      </c>
    </row>
    <row r="75" spans="2:15" ht="24" x14ac:dyDescent="0.15">
      <c r="B75" s="37"/>
      <c r="C75" s="22">
        <v>-0.59199999999999997</v>
      </c>
      <c r="D75" s="22">
        <v>0.98699999999999999</v>
      </c>
      <c r="E75" s="22">
        <v>0.70699999999999996</v>
      </c>
      <c r="F75" s="22">
        <v>0.77200000000000002</v>
      </c>
      <c r="G75" s="22">
        <v>0.96099999999999997</v>
      </c>
      <c r="H75" s="22">
        <v>1.026</v>
      </c>
      <c r="I75" s="22">
        <v>1.0649999999999999</v>
      </c>
      <c r="J75" s="22">
        <v>1.087</v>
      </c>
      <c r="K75" s="22">
        <v>2.6160000000000001</v>
      </c>
      <c r="L75" s="22">
        <v>-9.625</v>
      </c>
      <c r="M75" s="22">
        <v>-0.623</v>
      </c>
      <c r="N75" s="22">
        <v>-4.4000000000000004</v>
      </c>
      <c r="O75" s="13" t="s">
        <v>42</v>
      </c>
    </row>
    <row r="76" spans="2:15" ht="24" x14ac:dyDescent="0.15">
      <c r="B76" s="38"/>
      <c r="C76" s="23">
        <v>-0.75700000000000001</v>
      </c>
      <c r="D76" s="23">
        <v>0.81699999999999995</v>
      </c>
      <c r="E76" s="23">
        <v>0.56599999999999995</v>
      </c>
      <c r="F76" s="23">
        <v>0.627</v>
      </c>
      <c r="G76" s="23">
        <v>0.82499999999999996</v>
      </c>
      <c r="H76" s="23">
        <v>0.90300000000000002</v>
      </c>
      <c r="I76" s="23">
        <v>0.92500000000000004</v>
      </c>
      <c r="J76" s="23">
        <v>0.95199999999999996</v>
      </c>
      <c r="K76" s="23">
        <v>2.58</v>
      </c>
      <c r="L76" s="23">
        <v>-10.294</v>
      </c>
      <c r="M76" s="23">
        <v>-0.80100000000000005</v>
      </c>
      <c r="N76" s="23">
        <v>-4.5259999999999998</v>
      </c>
      <c r="O76" s="13" t="s">
        <v>43</v>
      </c>
    </row>
    <row r="77" spans="2:15" ht="24" x14ac:dyDescent="0.15">
      <c r="B77" s="36" t="s">
        <v>48</v>
      </c>
      <c r="C77" s="11">
        <v>0.46700000000000003</v>
      </c>
      <c r="D77" s="25">
        <v>0.72099999999999997</v>
      </c>
      <c r="E77" s="25">
        <v>0.71699999999999997</v>
      </c>
      <c r="F77" s="25">
        <v>0.745</v>
      </c>
      <c r="G77" s="25">
        <v>0.71499999999999997</v>
      </c>
      <c r="H77" s="25">
        <v>0.69699999999999995</v>
      </c>
      <c r="I77" s="25">
        <v>0.72599999999999998</v>
      </c>
      <c r="J77" s="25">
        <v>0.72299999999999998</v>
      </c>
      <c r="K77" s="35">
        <v>0.66600000000000004</v>
      </c>
      <c r="L77" s="35">
        <v>0.66700000000000004</v>
      </c>
      <c r="M77" s="26">
        <v>0.53600000000000003</v>
      </c>
      <c r="N77" s="7">
        <v>0.14499999999999999</v>
      </c>
      <c r="O77" s="13" t="s">
        <v>36</v>
      </c>
    </row>
    <row r="78" spans="2:15" ht="24" x14ac:dyDescent="0.15">
      <c r="B78" s="37"/>
      <c r="C78" s="29">
        <v>0.60899999999999999</v>
      </c>
      <c r="D78" s="21">
        <v>0.49199999999999999</v>
      </c>
      <c r="E78" s="17">
        <v>0.55500000000000005</v>
      </c>
      <c r="F78" s="29">
        <v>0.56299999999999994</v>
      </c>
      <c r="G78" s="29">
        <v>0.58699999999999997</v>
      </c>
      <c r="H78" s="17">
        <v>0.55300000000000005</v>
      </c>
      <c r="I78" s="29">
        <v>0.60699999999999998</v>
      </c>
      <c r="J78" s="29">
        <v>0.61599999999999999</v>
      </c>
      <c r="K78" s="29">
        <v>0.60699999999999998</v>
      </c>
      <c r="L78" s="30">
        <v>0.67500000000000004</v>
      </c>
      <c r="M78" s="30">
        <v>0.69399999999999995</v>
      </c>
      <c r="N78" s="14">
        <v>0.151</v>
      </c>
      <c r="O78" s="13" t="s">
        <v>37</v>
      </c>
    </row>
    <row r="79" spans="2:15" ht="24" x14ac:dyDescent="0.15">
      <c r="B79" s="37"/>
      <c r="C79" s="14">
        <v>-0.78500000000000003</v>
      </c>
      <c r="D79" s="33">
        <v>1.27</v>
      </c>
      <c r="E79" s="28">
        <v>0.90400000000000003</v>
      </c>
      <c r="F79" s="30">
        <v>1.0069999999999999</v>
      </c>
      <c r="G79" s="29">
        <v>0.71299999999999997</v>
      </c>
      <c r="H79" s="28">
        <v>0.79900000000000004</v>
      </c>
      <c r="I79" s="29">
        <v>0.66200000000000003</v>
      </c>
      <c r="J79" s="17">
        <v>0.59399999999999997</v>
      </c>
      <c r="K79" s="21">
        <v>0.32400000000000001</v>
      </c>
      <c r="L79" s="20">
        <v>-4.8000000000000001E-2</v>
      </c>
      <c r="M79" s="14">
        <v>-0.879</v>
      </c>
      <c r="N79" s="20">
        <v>-3.3000000000000002E-2</v>
      </c>
      <c r="O79" s="13" t="s">
        <v>38</v>
      </c>
    </row>
    <row r="80" spans="2:15" x14ac:dyDescent="0.15">
      <c r="B80" s="37"/>
      <c r="C80" s="17">
        <v>0.495</v>
      </c>
      <c r="D80" s="33">
        <v>0.71399999999999997</v>
      </c>
      <c r="E80" s="30">
        <v>0.68600000000000005</v>
      </c>
      <c r="F80" s="33">
        <v>0.749</v>
      </c>
      <c r="G80" s="30">
        <v>0.70699999999999996</v>
      </c>
      <c r="H80" s="30">
        <v>0.66600000000000004</v>
      </c>
      <c r="I80" s="33">
        <v>0.71399999999999997</v>
      </c>
      <c r="J80" s="33">
        <v>0.72099999999999997</v>
      </c>
      <c r="K80" s="30">
        <v>0.67200000000000004</v>
      </c>
      <c r="L80" s="30">
        <v>0.66</v>
      </c>
      <c r="M80" s="17">
        <v>0.54800000000000004</v>
      </c>
      <c r="N80" s="14">
        <v>0.159</v>
      </c>
      <c r="O80" s="13" t="s">
        <v>39</v>
      </c>
    </row>
    <row r="81" spans="2:15" x14ac:dyDescent="0.15">
      <c r="B81" s="37"/>
      <c r="C81" s="28">
        <v>0.63300000000000001</v>
      </c>
      <c r="D81" s="17">
        <v>0.52200000000000002</v>
      </c>
      <c r="E81" s="29">
        <v>0.57599999999999996</v>
      </c>
      <c r="F81" s="29">
        <v>0.57299999999999995</v>
      </c>
      <c r="G81" s="29">
        <v>0.60599999999999998</v>
      </c>
      <c r="H81" s="29">
        <v>0.58899999999999997</v>
      </c>
      <c r="I81" s="29">
        <v>0.62</v>
      </c>
      <c r="J81" s="28">
        <v>0.63</v>
      </c>
      <c r="K81" s="29">
        <v>0.61699999999999999</v>
      </c>
      <c r="L81" s="28">
        <v>0.67800000000000005</v>
      </c>
      <c r="M81" s="30">
        <v>0.70399999999999996</v>
      </c>
      <c r="N81" s="14">
        <v>0.16300000000000001</v>
      </c>
      <c r="O81" s="13" t="s">
        <v>40</v>
      </c>
    </row>
    <row r="82" spans="2:15" ht="24" x14ac:dyDescent="0.15">
      <c r="B82" s="37"/>
      <c r="C82" s="14">
        <v>1319</v>
      </c>
      <c r="D82" s="30">
        <v>20650</v>
      </c>
      <c r="E82" s="29">
        <v>15815</v>
      </c>
      <c r="F82" s="28">
        <v>17824</v>
      </c>
      <c r="G82" s="29">
        <v>15279</v>
      </c>
      <c r="H82" s="29">
        <v>15492</v>
      </c>
      <c r="I82" s="29">
        <v>15231</v>
      </c>
      <c r="J82" s="17">
        <v>14595</v>
      </c>
      <c r="K82" s="21">
        <v>11797</v>
      </c>
      <c r="L82" s="20">
        <v>8242</v>
      </c>
      <c r="M82" s="14">
        <v>1787</v>
      </c>
      <c r="N82" s="14">
        <v>2</v>
      </c>
      <c r="O82" s="13" t="s">
        <v>41</v>
      </c>
    </row>
    <row r="83" spans="2:15" ht="24" x14ac:dyDescent="0.15">
      <c r="B83" s="37"/>
      <c r="C83" s="22">
        <v>-0.63100000000000001</v>
      </c>
      <c r="D83" s="22">
        <v>0.56200000000000006</v>
      </c>
      <c r="E83" s="22">
        <v>0.75900000000000001</v>
      </c>
      <c r="F83" s="22">
        <v>0.74299999999999999</v>
      </c>
      <c r="G83" s="22">
        <v>0.99199999999999999</v>
      </c>
      <c r="H83" s="22">
        <v>0.83299999999999996</v>
      </c>
      <c r="I83" s="22">
        <v>1.0780000000000001</v>
      </c>
      <c r="J83" s="22">
        <v>1.214</v>
      </c>
      <c r="K83" s="22">
        <v>2.0710000000000002</v>
      </c>
      <c r="L83" s="22">
        <v>-13.818</v>
      </c>
      <c r="M83" s="22">
        <v>-0.623</v>
      </c>
      <c r="N83" s="22">
        <v>-4.8600000000000003</v>
      </c>
      <c r="O83" s="13" t="s">
        <v>42</v>
      </c>
    </row>
    <row r="84" spans="2:15" ht="24" x14ac:dyDescent="0.15">
      <c r="B84" s="38"/>
      <c r="C84" s="23">
        <v>-0.80600000000000005</v>
      </c>
      <c r="D84" s="23">
        <v>0.41099999999999998</v>
      </c>
      <c r="E84" s="23">
        <v>0.63800000000000001</v>
      </c>
      <c r="F84" s="23">
        <v>0.56899999999999995</v>
      </c>
      <c r="G84" s="23">
        <v>0.84899999999999998</v>
      </c>
      <c r="H84" s="23">
        <v>0.73599999999999999</v>
      </c>
      <c r="I84" s="23">
        <v>0.93600000000000005</v>
      </c>
      <c r="J84" s="23">
        <v>1.0609999999999999</v>
      </c>
      <c r="K84" s="23">
        <v>1.9</v>
      </c>
      <c r="L84" s="23">
        <v>-14.183999999999999</v>
      </c>
      <c r="M84" s="23">
        <v>-0.80100000000000005</v>
      </c>
      <c r="N84" s="23">
        <v>-4.9820000000000002</v>
      </c>
      <c r="O84" s="13" t="s">
        <v>43</v>
      </c>
    </row>
    <row r="85" spans="2:15" ht="24" x14ac:dyDescent="0.15">
      <c r="B85" s="36" t="s">
        <v>49</v>
      </c>
      <c r="C85" s="10">
        <v>0.48899999999999999</v>
      </c>
      <c r="D85" s="25">
        <v>0.745</v>
      </c>
      <c r="E85" s="25">
        <v>0.69599999999999995</v>
      </c>
      <c r="F85" s="25">
        <v>0.70299999999999996</v>
      </c>
      <c r="G85" s="25">
        <v>0.70899999999999996</v>
      </c>
      <c r="H85" s="25">
        <v>0.70699999999999996</v>
      </c>
      <c r="I85" s="25">
        <v>0.72</v>
      </c>
      <c r="J85" s="25">
        <v>0.71699999999999997</v>
      </c>
      <c r="K85" s="35">
        <v>0.66500000000000004</v>
      </c>
      <c r="L85" s="34">
        <v>0.63100000000000001</v>
      </c>
      <c r="M85" s="26">
        <v>0.54600000000000004</v>
      </c>
      <c r="N85" s="7">
        <v>0.13700000000000001</v>
      </c>
      <c r="O85" s="13" t="s">
        <v>36</v>
      </c>
    </row>
    <row r="86" spans="2:15" ht="24" x14ac:dyDescent="0.15">
      <c r="B86" s="37"/>
      <c r="C86" s="28">
        <v>0.629</v>
      </c>
      <c r="D86" s="17">
        <v>0.52700000000000002</v>
      </c>
      <c r="E86" s="29">
        <v>0.56799999999999995</v>
      </c>
      <c r="F86" s="17">
        <v>0.54700000000000004</v>
      </c>
      <c r="G86" s="29">
        <v>0.57599999999999996</v>
      </c>
      <c r="H86" s="29">
        <v>0.59099999999999997</v>
      </c>
      <c r="I86" s="29">
        <v>0.60199999999999998</v>
      </c>
      <c r="J86" s="29">
        <v>0.60199999999999998</v>
      </c>
      <c r="K86" s="29">
        <v>0.58399999999999996</v>
      </c>
      <c r="L86" s="28">
        <v>0.64</v>
      </c>
      <c r="M86" s="30">
        <v>0.70399999999999996</v>
      </c>
      <c r="N86" s="14">
        <v>0.14499999999999999</v>
      </c>
      <c r="O86" s="13" t="s">
        <v>37</v>
      </c>
    </row>
    <row r="87" spans="2:15" ht="24" x14ac:dyDescent="0.15">
      <c r="B87" s="37"/>
      <c r="C87" s="14">
        <v>-0.77900000000000003</v>
      </c>
      <c r="D87" s="33">
        <v>1.21</v>
      </c>
      <c r="E87" s="29">
        <v>0.71299999999999997</v>
      </c>
      <c r="F87" s="28">
        <v>0.86899999999999999</v>
      </c>
      <c r="G87" s="29">
        <v>0.74</v>
      </c>
      <c r="H87" s="29">
        <v>0.64700000000000002</v>
      </c>
      <c r="I87" s="29">
        <v>0.65600000000000003</v>
      </c>
      <c r="J87" s="29">
        <v>0.64</v>
      </c>
      <c r="K87" s="17">
        <v>0.44700000000000001</v>
      </c>
      <c r="L87" s="20">
        <v>-5.1999999999999998E-2</v>
      </c>
      <c r="M87" s="14">
        <v>-0.878</v>
      </c>
      <c r="N87" s="20">
        <v>-4.2000000000000003E-2</v>
      </c>
      <c r="O87" s="13" t="s">
        <v>38</v>
      </c>
    </row>
    <row r="88" spans="2:15" x14ac:dyDescent="0.15">
      <c r="B88" s="37"/>
      <c r="C88" s="17">
        <v>0.503</v>
      </c>
      <c r="D88" s="33">
        <v>0.73499999999999999</v>
      </c>
      <c r="E88" s="30">
        <v>0.68500000000000005</v>
      </c>
      <c r="F88" s="30">
        <v>0.69399999999999995</v>
      </c>
      <c r="G88" s="30">
        <v>0.69799999999999995</v>
      </c>
      <c r="H88" s="30">
        <v>0.69399999999999995</v>
      </c>
      <c r="I88" s="33">
        <v>0.71</v>
      </c>
      <c r="J88" s="33">
        <v>0.71399999999999997</v>
      </c>
      <c r="K88" s="28">
        <v>0.65</v>
      </c>
      <c r="L88" s="28">
        <v>0.61499999999999999</v>
      </c>
      <c r="M88" s="29">
        <v>0.55700000000000005</v>
      </c>
      <c r="N88" s="14">
        <v>0.151</v>
      </c>
      <c r="O88" s="13" t="s">
        <v>39</v>
      </c>
    </row>
    <row r="89" spans="2:15" x14ac:dyDescent="0.15">
      <c r="B89" s="37"/>
      <c r="C89" s="28">
        <v>0.64</v>
      </c>
      <c r="D89" s="17">
        <v>0.55600000000000005</v>
      </c>
      <c r="E89" s="29">
        <v>0.58799999999999997</v>
      </c>
      <c r="F89" s="17">
        <v>0.56299999999999994</v>
      </c>
      <c r="G89" s="29">
        <v>0.59599999999999997</v>
      </c>
      <c r="H89" s="29">
        <v>0.60899999999999999</v>
      </c>
      <c r="I89" s="29">
        <v>0.61899999999999999</v>
      </c>
      <c r="J89" s="29">
        <v>0.623</v>
      </c>
      <c r="K89" s="29">
        <v>0.59599999999999997</v>
      </c>
      <c r="L89" s="28">
        <v>0.64400000000000002</v>
      </c>
      <c r="M89" s="30">
        <v>0.71399999999999997</v>
      </c>
      <c r="N89" s="14">
        <v>0.157</v>
      </c>
      <c r="O89" s="13" t="s">
        <v>40</v>
      </c>
    </row>
    <row r="90" spans="2:15" ht="24" x14ac:dyDescent="0.15">
      <c r="B90" s="37"/>
      <c r="C90" s="14">
        <v>1682</v>
      </c>
      <c r="D90" s="30">
        <v>19114</v>
      </c>
      <c r="E90" s="29">
        <v>15957</v>
      </c>
      <c r="F90" s="28">
        <v>18310</v>
      </c>
      <c r="G90" s="29">
        <v>16020</v>
      </c>
      <c r="H90" s="17">
        <v>14202</v>
      </c>
      <c r="I90" s="29">
        <v>15322</v>
      </c>
      <c r="J90" s="29">
        <v>15363</v>
      </c>
      <c r="K90" s="21">
        <v>12325</v>
      </c>
      <c r="L90" s="20">
        <v>8342</v>
      </c>
      <c r="M90" s="14">
        <v>1686</v>
      </c>
      <c r="N90" s="14">
        <v>1</v>
      </c>
      <c r="O90" s="13" t="s">
        <v>41</v>
      </c>
    </row>
    <row r="91" spans="2:15" ht="24" x14ac:dyDescent="0.15">
      <c r="B91" s="37"/>
      <c r="C91" s="22">
        <v>-0.64600000000000002</v>
      </c>
      <c r="D91" s="22">
        <v>0.60699999999999998</v>
      </c>
      <c r="E91" s="22">
        <v>0.96</v>
      </c>
      <c r="F91" s="22">
        <v>0.79800000000000004</v>
      </c>
      <c r="G91" s="22">
        <v>0.94299999999999995</v>
      </c>
      <c r="H91" s="22">
        <v>1.0720000000000001</v>
      </c>
      <c r="I91" s="22">
        <v>1.0840000000000001</v>
      </c>
      <c r="J91" s="22">
        <v>1.115</v>
      </c>
      <c r="K91" s="22">
        <v>1.456</v>
      </c>
      <c r="L91" s="22">
        <v>-11.903</v>
      </c>
      <c r="M91" s="22">
        <v>-0.63500000000000001</v>
      </c>
      <c r="N91" s="22">
        <v>-3.5859999999999999</v>
      </c>
      <c r="O91" s="13" t="s">
        <v>42</v>
      </c>
    </row>
    <row r="92" spans="2:15" ht="24" x14ac:dyDescent="0.15">
      <c r="B92" s="38"/>
      <c r="C92" s="23">
        <v>-0.82199999999999995</v>
      </c>
      <c r="D92" s="23">
        <v>0.46</v>
      </c>
      <c r="E92" s="23">
        <v>0.82499999999999996</v>
      </c>
      <c r="F92" s="23">
        <v>0.64700000000000002</v>
      </c>
      <c r="G92" s="23">
        <v>0.80500000000000005</v>
      </c>
      <c r="H92" s="23">
        <v>0.94099999999999995</v>
      </c>
      <c r="I92" s="23">
        <v>0.94399999999999995</v>
      </c>
      <c r="J92" s="23">
        <v>0.97299999999999998</v>
      </c>
      <c r="K92" s="23">
        <v>1.335</v>
      </c>
      <c r="L92" s="23">
        <v>-12.468</v>
      </c>
      <c r="M92" s="23">
        <v>-0.81200000000000006</v>
      </c>
      <c r="N92" s="23">
        <v>-3.726</v>
      </c>
      <c r="O92" s="13" t="s">
        <v>43</v>
      </c>
    </row>
    <row r="93" spans="2:15" ht="24" x14ac:dyDescent="0.15">
      <c r="B93" s="36" t="s">
        <v>50</v>
      </c>
      <c r="C93" s="7">
        <v>0.111</v>
      </c>
      <c r="D93" s="7">
        <v>0.122</v>
      </c>
      <c r="E93" s="7">
        <v>0.11700000000000001</v>
      </c>
      <c r="F93" s="7">
        <v>0.13400000000000001</v>
      </c>
      <c r="G93" s="7">
        <v>0.13</v>
      </c>
      <c r="H93" s="7">
        <v>0.14699999999999999</v>
      </c>
      <c r="I93" s="7">
        <v>0.14699999999999999</v>
      </c>
      <c r="J93" s="7">
        <v>0.14299999999999999</v>
      </c>
      <c r="K93" s="7">
        <v>0.13800000000000001</v>
      </c>
      <c r="L93" s="7">
        <v>0.13300000000000001</v>
      </c>
      <c r="M93" s="7">
        <v>0.125</v>
      </c>
      <c r="N93" s="7">
        <v>0.123</v>
      </c>
      <c r="O93" s="13" t="s">
        <v>36</v>
      </c>
    </row>
    <row r="94" spans="2:15" ht="24" x14ac:dyDescent="0.15">
      <c r="B94" s="37"/>
      <c r="C94" s="14">
        <v>0.11700000000000001</v>
      </c>
      <c r="D94" s="14">
        <v>0.128</v>
      </c>
      <c r="E94" s="14">
        <v>0.122</v>
      </c>
      <c r="F94" s="14">
        <v>0.13900000000000001</v>
      </c>
      <c r="G94" s="14">
        <v>0.13500000000000001</v>
      </c>
      <c r="H94" s="14">
        <v>0.153</v>
      </c>
      <c r="I94" s="14">
        <v>0.152</v>
      </c>
      <c r="J94" s="14">
        <v>0.14699999999999999</v>
      </c>
      <c r="K94" s="14">
        <v>0.14299999999999999</v>
      </c>
      <c r="L94" s="14">
        <v>0.13700000000000001</v>
      </c>
      <c r="M94" s="14">
        <v>0.13</v>
      </c>
      <c r="N94" s="14">
        <v>0.128</v>
      </c>
      <c r="O94" s="13" t="s">
        <v>37</v>
      </c>
    </row>
    <row r="95" spans="2:15" ht="24" x14ac:dyDescent="0.15">
      <c r="B95" s="37"/>
      <c r="C95" s="20">
        <v>-3.5000000000000003E-2</v>
      </c>
      <c r="D95" s="20">
        <v>-3.4000000000000002E-2</v>
      </c>
      <c r="E95" s="20">
        <v>-2.8000000000000001E-2</v>
      </c>
      <c r="F95" s="20">
        <v>-0.03</v>
      </c>
      <c r="G95" s="20">
        <v>-2.8000000000000001E-2</v>
      </c>
      <c r="H95" s="20">
        <v>-3.3000000000000002E-2</v>
      </c>
      <c r="I95" s="20">
        <v>-2.8000000000000001E-2</v>
      </c>
      <c r="J95" s="20">
        <v>-1.9E-2</v>
      </c>
      <c r="K95" s="20">
        <v>-0.03</v>
      </c>
      <c r="L95" s="20">
        <v>-2.1999999999999999E-2</v>
      </c>
      <c r="M95" s="20">
        <v>-2.8000000000000001E-2</v>
      </c>
      <c r="N95" s="20">
        <v>-2.8000000000000001E-2</v>
      </c>
      <c r="O95" s="13" t="s">
        <v>38</v>
      </c>
    </row>
    <row r="96" spans="2:15" x14ac:dyDescent="0.15">
      <c r="B96" s="37"/>
      <c r="C96" s="14">
        <v>0.122</v>
      </c>
      <c r="D96" s="14">
        <v>0.13500000000000001</v>
      </c>
      <c r="E96" s="14">
        <v>0.128</v>
      </c>
      <c r="F96" s="14">
        <v>0.14599999999999999</v>
      </c>
      <c r="G96" s="14">
        <v>0.14099999999999999</v>
      </c>
      <c r="H96" s="14">
        <v>0.159</v>
      </c>
      <c r="I96" s="14">
        <v>0.157</v>
      </c>
      <c r="J96" s="14">
        <v>0.153</v>
      </c>
      <c r="K96" s="14">
        <v>0.14799999999999999</v>
      </c>
      <c r="L96" s="14">
        <v>0.14099999999999999</v>
      </c>
      <c r="M96" s="14">
        <v>0.13500000000000001</v>
      </c>
      <c r="N96" s="14">
        <v>0.13400000000000001</v>
      </c>
      <c r="O96" s="13" t="s">
        <v>39</v>
      </c>
    </row>
    <row r="97" spans="2:15" x14ac:dyDescent="0.15">
      <c r="B97" s="37"/>
      <c r="C97" s="14">
        <v>0.127</v>
      </c>
      <c r="D97" s="14">
        <v>0.13900000000000001</v>
      </c>
      <c r="E97" s="14">
        <v>0.13100000000000001</v>
      </c>
      <c r="F97" s="14">
        <v>0.15</v>
      </c>
      <c r="G97" s="14">
        <v>0.14499999999999999</v>
      </c>
      <c r="H97" s="14">
        <v>0.16400000000000001</v>
      </c>
      <c r="I97" s="14">
        <v>0.161</v>
      </c>
      <c r="J97" s="14">
        <v>0.154</v>
      </c>
      <c r="K97" s="14">
        <v>0.152</v>
      </c>
      <c r="L97" s="14">
        <v>0.14399999999999999</v>
      </c>
      <c r="M97" s="14">
        <v>0.13900000000000001</v>
      </c>
      <c r="N97" s="14">
        <v>0.13700000000000001</v>
      </c>
      <c r="O97" s="13" t="s">
        <v>40</v>
      </c>
    </row>
    <row r="98" spans="2:15" ht="24" x14ac:dyDescent="0.15">
      <c r="B98" s="37"/>
      <c r="C98" s="14">
        <v>5</v>
      </c>
      <c r="D98" s="14">
        <v>0</v>
      </c>
      <c r="E98" s="14">
        <v>8</v>
      </c>
      <c r="F98" s="14">
        <v>6</v>
      </c>
      <c r="G98" s="14">
        <v>2</v>
      </c>
      <c r="H98" s="14">
        <v>18</v>
      </c>
      <c r="I98" s="14">
        <v>0</v>
      </c>
      <c r="J98" s="14">
        <v>1</v>
      </c>
      <c r="K98" s="14">
        <v>0</v>
      </c>
      <c r="L98" s="14">
        <v>0</v>
      </c>
      <c r="M98" s="14">
        <v>1</v>
      </c>
      <c r="N98" s="14">
        <v>0</v>
      </c>
      <c r="O98" s="13" t="s">
        <v>41</v>
      </c>
    </row>
    <row r="99" spans="2:15" ht="24" x14ac:dyDescent="0.15">
      <c r="B99" s="37"/>
      <c r="C99" s="22">
        <v>-3.4889999999999999</v>
      </c>
      <c r="D99" s="22">
        <v>-3.984</v>
      </c>
      <c r="E99" s="22">
        <v>-4.5110000000000001</v>
      </c>
      <c r="F99" s="22">
        <v>-4.8529999999999998</v>
      </c>
      <c r="G99" s="22">
        <v>-4.976</v>
      </c>
      <c r="H99" s="22">
        <v>-4.7610000000000001</v>
      </c>
      <c r="I99" s="22">
        <v>-5.5449999999999999</v>
      </c>
      <c r="J99" s="22">
        <v>-7.8529999999999998</v>
      </c>
      <c r="K99" s="22">
        <v>-4.9429999999999996</v>
      </c>
      <c r="L99" s="22">
        <v>-6.5309999999999997</v>
      </c>
      <c r="M99" s="22">
        <v>-4.7750000000000004</v>
      </c>
      <c r="N99" s="22">
        <v>-4.7190000000000003</v>
      </c>
      <c r="O99" s="13" t="s">
        <v>42</v>
      </c>
    </row>
    <row r="100" spans="2:15" ht="24" x14ac:dyDescent="0.15">
      <c r="B100" s="38"/>
      <c r="C100" s="23">
        <v>-3.6230000000000002</v>
      </c>
      <c r="D100" s="23">
        <v>-4.0960000000000001</v>
      </c>
      <c r="E100" s="23">
        <v>-4.6159999999999997</v>
      </c>
      <c r="F100" s="23">
        <v>-4.9930000000000003</v>
      </c>
      <c r="G100" s="23">
        <v>-5.1319999999999997</v>
      </c>
      <c r="H100" s="23">
        <v>-4.9109999999999996</v>
      </c>
      <c r="I100" s="23">
        <v>-5.6680000000000001</v>
      </c>
      <c r="J100" s="23">
        <v>-7.9459999999999997</v>
      </c>
      <c r="K100" s="23">
        <v>-5.08</v>
      </c>
      <c r="L100" s="23">
        <v>-6.6420000000000003</v>
      </c>
      <c r="M100" s="23">
        <v>-4.899</v>
      </c>
      <c r="N100" s="23">
        <v>-4.8460000000000001</v>
      </c>
      <c r="O100" s="13" t="s">
        <v>43</v>
      </c>
    </row>
  </sheetData>
  <sheetProtection algorithmName="SHA-512" hashValue="bhsYY1Hv5OleWN5AQpX0YOCQXyrbKEFQFVMAIf1QA/hjBf5hYi+X143uWGKDvn9V7F7Y+0i4gW/MQX6BbZozbA==" saltValue="Pv22nDd03o/p3Gb3Ft8jhQ==" spinCount="100000" sheet="1"/>
  <mergeCells count="8">
    <mergeCell ref="B85:B92"/>
    <mergeCell ref="B93:B100"/>
    <mergeCell ref="B37:B44"/>
    <mergeCell ref="B45:B52"/>
    <mergeCell ref="B53:B60"/>
    <mergeCell ref="B61:B68"/>
    <mergeCell ref="B69:B76"/>
    <mergeCell ref="B77:B84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33CD-7886-144F-BB3E-83C044AB35AE}">
  <dimension ref="A2:M20"/>
  <sheetViews>
    <sheetView workbookViewId="0">
      <selection activeCell="N9" sqref="N9"/>
    </sheetView>
  </sheetViews>
  <sheetFormatPr baseColWidth="10" defaultRowHeight="13" x14ac:dyDescent="0.15"/>
  <cols>
    <col min="1" max="13" width="9.5" customWidth="1"/>
  </cols>
  <sheetData>
    <row r="2" spans="1:13" x14ac:dyDescent="0.15">
      <c r="C2" s="39" t="s">
        <v>51</v>
      </c>
      <c r="D2" s="39"/>
      <c r="E2" s="39"/>
      <c r="F2" s="39"/>
      <c r="G2" s="39"/>
      <c r="H2" s="39"/>
      <c r="I2" s="39"/>
      <c r="J2" s="39"/>
      <c r="K2" s="39"/>
    </row>
    <row r="3" spans="1:13" ht="14" x14ac:dyDescent="0.15">
      <c r="A3" s="5"/>
      <c r="B3" s="6" t="s">
        <v>52</v>
      </c>
      <c r="C3" s="40">
        <v>0</v>
      </c>
      <c r="D3" s="41">
        <f t="shared" ref="D3:J3" si="0">E3/2</f>
        <v>3.90625</v>
      </c>
      <c r="E3" s="41">
        <f t="shared" si="0"/>
        <v>7.8125</v>
      </c>
      <c r="F3" s="41">
        <f t="shared" si="0"/>
        <v>15.625</v>
      </c>
      <c r="G3" s="40">
        <f t="shared" si="0"/>
        <v>31.25</v>
      </c>
      <c r="H3" s="40">
        <f t="shared" si="0"/>
        <v>62.5</v>
      </c>
      <c r="I3" s="40">
        <f t="shared" si="0"/>
        <v>125</v>
      </c>
      <c r="J3" s="40">
        <f t="shared" si="0"/>
        <v>250</v>
      </c>
      <c r="K3" s="40">
        <v>500</v>
      </c>
      <c r="L3" s="42" t="s">
        <v>53</v>
      </c>
    </row>
    <row r="4" spans="1:13" ht="14" x14ac:dyDescent="0.15">
      <c r="A4" s="6" t="s">
        <v>44</v>
      </c>
      <c r="B4" s="43">
        <v>1068</v>
      </c>
      <c r="C4" s="44">
        <v>24742</v>
      </c>
      <c r="D4" s="45">
        <v>23972</v>
      </c>
      <c r="E4" s="46">
        <v>21126</v>
      </c>
      <c r="F4" s="46">
        <v>20971</v>
      </c>
      <c r="G4" s="47">
        <v>20486</v>
      </c>
      <c r="H4" s="48">
        <v>18280</v>
      </c>
      <c r="I4" s="48">
        <v>18860</v>
      </c>
      <c r="J4" s="48">
        <v>18787</v>
      </c>
      <c r="K4" s="49">
        <v>9881</v>
      </c>
      <c r="L4" s="43">
        <v>1714</v>
      </c>
      <c r="M4" s="13" t="s">
        <v>41</v>
      </c>
    </row>
    <row r="5" spans="1:13" ht="14" x14ac:dyDescent="0.15">
      <c r="A5" s="6" t="s">
        <v>45</v>
      </c>
      <c r="B5" s="43">
        <v>1106</v>
      </c>
      <c r="C5" s="44">
        <v>25191</v>
      </c>
      <c r="D5" s="45">
        <v>24373</v>
      </c>
      <c r="E5" s="46">
        <v>21866</v>
      </c>
      <c r="F5" s="47">
        <v>19365</v>
      </c>
      <c r="G5" s="47">
        <v>20162</v>
      </c>
      <c r="H5" s="48">
        <v>18091</v>
      </c>
      <c r="I5" s="48">
        <v>18549</v>
      </c>
      <c r="J5" s="48">
        <v>17841</v>
      </c>
      <c r="K5" s="49">
        <v>10637</v>
      </c>
      <c r="L5" s="43">
        <v>1493</v>
      </c>
      <c r="M5" s="13" t="s">
        <v>41</v>
      </c>
    </row>
    <row r="6" spans="1:13" ht="14" x14ac:dyDescent="0.15">
      <c r="A6" s="6" t="s">
        <v>46</v>
      </c>
      <c r="B6" s="43">
        <v>1731</v>
      </c>
      <c r="C6" s="44">
        <v>26448</v>
      </c>
      <c r="D6" s="44">
        <v>24625</v>
      </c>
      <c r="E6" s="46">
        <v>22035</v>
      </c>
      <c r="F6" s="46">
        <v>20838</v>
      </c>
      <c r="G6" s="46">
        <v>21084</v>
      </c>
      <c r="H6" s="48">
        <v>17881</v>
      </c>
      <c r="I6" s="48">
        <v>18812</v>
      </c>
      <c r="J6" s="48">
        <v>18627</v>
      </c>
      <c r="K6" s="49">
        <v>11168</v>
      </c>
      <c r="L6" s="43">
        <v>1600</v>
      </c>
      <c r="M6" s="13" t="s">
        <v>41</v>
      </c>
    </row>
    <row r="7" spans="1:13" ht="14" x14ac:dyDescent="0.15">
      <c r="A7" s="50" t="s">
        <v>54</v>
      </c>
      <c r="B7" s="51">
        <f>AVERAGE(B4:B6)</f>
        <v>1301.6666666666667</v>
      </c>
      <c r="C7" s="51">
        <f>AVERAGE(C4:C6)</f>
        <v>25460.333333333332</v>
      </c>
      <c r="D7" s="51">
        <f t="shared" ref="D7:K7" si="1">AVERAGE(D4:D6)</f>
        <v>24323.333333333332</v>
      </c>
      <c r="E7" s="51">
        <f t="shared" si="1"/>
        <v>21675.666666666668</v>
      </c>
      <c r="F7" s="51">
        <f t="shared" si="1"/>
        <v>20391.333333333332</v>
      </c>
      <c r="G7" s="51">
        <f t="shared" si="1"/>
        <v>20577.333333333332</v>
      </c>
      <c r="H7" s="51">
        <f t="shared" si="1"/>
        <v>18084</v>
      </c>
      <c r="I7" s="51">
        <f t="shared" si="1"/>
        <v>18740.333333333332</v>
      </c>
      <c r="J7" s="51">
        <f>AVERAGE(J4:J6)</f>
        <v>18418.333333333332</v>
      </c>
      <c r="K7" s="51">
        <f t="shared" si="1"/>
        <v>10562</v>
      </c>
      <c r="L7" s="51">
        <f>AVERAGE(L4:L6)</f>
        <v>1602.3333333333333</v>
      </c>
      <c r="M7" s="52" t="s">
        <v>55</v>
      </c>
    </row>
    <row r="8" spans="1:13" ht="14" x14ac:dyDescent="0.15">
      <c r="A8" s="50" t="s">
        <v>56</v>
      </c>
      <c r="B8" s="51">
        <f>STDEV(B4:B6)</f>
        <v>372.29871519162339</v>
      </c>
      <c r="C8" s="51">
        <f t="shared" ref="C8:K8" si="2">STDEV(C4:C6)</f>
        <v>884.315743008872</v>
      </c>
      <c r="D8" s="51">
        <f t="shared" si="2"/>
        <v>329.32101866314781</v>
      </c>
      <c r="E8" s="51">
        <f t="shared" si="2"/>
        <v>483.46699301331142</v>
      </c>
      <c r="F8" s="51">
        <f t="shared" si="2"/>
        <v>891.31494620775516</v>
      </c>
      <c r="G8" s="51">
        <f t="shared" si="2"/>
        <v>467.73639299645407</v>
      </c>
      <c r="H8" s="51">
        <f t="shared" si="2"/>
        <v>199.59208401136553</v>
      </c>
      <c r="I8" s="51">
        <f t="shared" si="2"/>
        <v>167.42859174386354</v>
      </c>
      <c r="J8" s="51">
        <f t="shared" si="2"/>
        <v>506.34507337717162</v>
      </c>
      <c r="K8" s="51">
        <f t="shared" si="2"/>
        <v>646.76966533689563</v>
      </c>
      <c r="L8" s="51">
        <f>STDEV(L4:L6)</f>
        <v>110.51847507694509</v>
      </c>
      <c r="M8" s="52"/>
    </row>
    <row r="9" spans="1:13" ht="14" x14ac:dyDescent="0.15">
      <c r="A9" s="50" t="s">
        <v>57</v>
      </c>
      <c r="B9" s="51">
        <f>B8/B7*100</f>
        <v>28.601693868754673</v>
      </c>
      <c r="C9" s="53">
        <f t="shared" ref="C9:K9" si="3">C8/C7*100</f>
        <v>3.4733077977855964</v>
      </c>
      <c r="D9" s="53">
        <f t="shared" si="3"/>
        <v>1.3539304590783108</v>
      </c>
      <c r="E9" s="53">
        <f t="shared" si="3"/>
        <v>2.2304596229872731</v>
      </c>
      <c r="F9" s="53">
        <f t="shared" si="3"/>
        <v>4.3710478939145156</v>
      </c>
      <c r="G9" s="53">
        <f t="shared" si="3"/>
        <v>2.2730661229011897</v>
      </c>
      <c r="H9" s="53">
        <f t="shared" si="3"/>
        <v>1.1036943375987918</v>
      </c>
      <c r="I9" s="53">
        <f t="shared" si="3"/>
        <v>0.89341309338430586</v>
      </c>
      <c r="J9" s="53">
        <f t="shared" si="3"/>
        <v>2.7491362232042618</v>
      </c>
      <c r="K9" s="53">
        <f t="shared" si="3"/>
        <v>6.1235529761114904</v>
      </c>
      <c r="L9" s="51">
        <f>L8/L7*100</f>
        <v>6.8973460626343934</v>
      </c>
      <c r="M9" s="54">
        <f>AVERAGE(C9:K9)</f>
        <v>2.7301787252184151</v>
      </c>
    </row>
    <row r="11" spans="1:13" x14ac:dyDescent="0.15">
      <c r="B11" s="55" t="s">
        <v>58</v>
      </c>
      <c r="C11" s="51">
        <f t="shared" ref="C11:L13" si="4">(C4-$B$7)/($C$7-$B$7)*100</f>
        <v>97.026601909597659</v>
      </c>
      <c r="D11" s="51">
        <f t="shared" si="4"/>
        <v>93.839339919421604</v>
      </c>
      <c r="E11" s="51">
        <f t="shared" si="4"/>
        <v>82.058888459628022</v>
      </c>
      <c r="F11" s="51">
        <f t="shared" si="4"/>
        <v>81.417296760306868</v>
      </c>
      <c r="G11" s="51">
        <f t="shared" si="4"/>
        <v>79.409735636624546</v>
      </c>
      <c r="H11" s="51">
        <f t="shared" si="4"/>
        <v>70.278436999834426</v>
      </c>
      <c r="I11" s="51">
        <f t="shared" si="4"/>
        <v>72.679231745681321</v>
      </c>
      <c r="J11" s="51">
        <f t="shared" si="4"/>
        <v>72.3770627518075</v>
      </c>
      <c r="K11" s="51">
        <f t="shared" si="4"/>
        <v>35.512445499199742</v>
      </c>
      <c r="L11" s="51">
        <f t="shared" si="4"/>
        <v>1.7067718969038026</v>
      </c>
    </row>
    <row r="12" spans="1:13" x14ac:dyDescent="0.15">
      <c r="B12" s="55"/>
      <c r="C12" s="51">
        <f t="shared" si="4"/>
        <v>98.885148186986044</v>
      </c>
      <c r="D12" s="51">
        <f t="shared" si="4"/>
        <v>95.49919973508473</v>
      </c>
      <c r="E12" s="51">
        <f t="shared" si="4"/>
        <v>85.1219714112258</v>
      </c>
      <c r="F12" s="51">
        <f t="shared" si="4"/>
        <v>74.769578895082518</v>
      </c>
      <c r="G12" s="51">
        <f t="shared" si="4"/>
        <v>78.068602019979025</v>
      </c>
      <c r="H12" s="51">
        <f t="shared" si="4"/>
        <v>69.496109056791212</v>
      </c>
      <c r="I12" s="51">
        <f t="shared" si="4"/>
        <v>71.391909045753081</v>
      </c>
      <c r="J12" s="51">
        <f t="shared" si="4"/>
        <v>68.461283735305472</v>
      </c>
      <c r="K12" s="51">
        <f t="shared" si="4"/>
        <v>38.641757271372597</v>
      </c>
      <c r="L12" s="51">
        <f t="shared" si="4"/>
        <v>0.7919863127104142</v>
      </c>
    </row>
    <row r="13" spans="1:13" x14ac:dyDescent="0.15">
      <c r="B13" s="55"/>
      <c r="C13" s="51">
        <f t="shared" si="4"/>
        <v>104.08824990341631</v>
      </c>
      <c r="D13" s="51">
        <f t="shared" si="4"/>
        <v>96.542303659142334</v>
      </c>
      <c r="E13" s="51">
        <f t="shared" si="4"/>
        <v>85.821513328550154</v>
      </c>
      <c r="F13" s="51">
        <f t="shared" si="4"/>
        <v>80.866769689276452</v>
      </c>
      <c r="G13" s="51">
        <f t="shared" si="4"/>
        <v>81.88503780561841</v>
      </c>
      <c r="H13" s="51">
        <f t="shared" si="4"/>
        <v>68.626855786743207</v>
      </c>
      <c r="I13" s="51">
        <f t="shared" si="4"/>
        <v>72.480545283956062</v>
      </c>
      <c r="J13" s="51">
        <f t="shared" si="4"/>
        <v>71.714774546056631</v>
      </c>
      <c r="K13" s="51">
        <f t="shared" si="4"/>
        <v>40.839726254208294</v>
      </c>
      <c r="L13" s="51">
        <f t="shared" si="4"/>
        <v>1.234891550306308</v>
      </c>
      <c r="M13" s="56"/>
    </row>
    <row r="14" spans="1:13" ht="14" x14ac:dyDescent="0.15">
      <c r="B14" s="57" t="s">
        <v>54</v>
      </c>
      <c r="C14" s="58">
        <f t="shared" ref="C14:L14" si="5">AVERAGE(C11:C13)</f>
        <v>100</v>
      </c>
      <c r="D14" s="58">
        <f t="shared" si="5"/>
        <v>95.293614437882908</v>
      </c>
      <c r="E14" s="58">
        <f t="shared" si="5"/>
        <v>84.334124399801325</v>
      </c>
      <c r="F14" s="58">
        <f t="shared" si="5"/>
        <v>79.017881781555275</v>
      </c>
      <c r="G14" s="58">
        <f t="shared" si="5"/>
        <v>79.787791820740665</v>
      </c>
      <c r="H14" s="58">
        <f t="shared" si="5"/>
        <v>69.467133947789605</v>
      </c>
      <c r="I14" s="58">
        <f t="shared" si="5"/>
        <v>72.183895358463488</v>
      </c>
      <c r="J14" s="58">
        <f t="shared" si="5"/>
        <v>70.851040344389858</v>
      </c>
      <c r="K14" s="58">
        <f t="shared" si="5"/>
        <v>38.331309674926878</v>
      </c>
      <c r="L14" s="58">
        <f t="shared" si="5"/>
        <v>1.2445499199735082</v>
      </c>
      <c r="M14" s="52" t="s">
        <v>55</v>
      </c>
    </row>
    <row r="15" spans="1:13" ht="14" x14ac:dyDescent="0.15">
      <c r="B15" s="50" t="s">
        <v>56</v>
      </c>
      <c r="C15" s="51">
        <f t="shared" ref="C15:L15" si="6">STDEV(C11:C13)</f>
        <v>3.660449292216208</v>
      </c>
      <c r="D15" s="51">
        <f t="shared" si="6"/>
        <v>1.3631589160404025</v>
      </c>
      <c r="E15" s="51">
        <f t="shared" si="6"/>
        <v>2.0012155458909664</v>
      </c>
      <c r="F15" s="51">
        <f t="shared" si="6"/>
        <v>3.6894211030179154</v>
      </c>
      <c r="G15" s="51">
        <f t="shared" si="6"/>
        <v>1.9361018530125307</v>
      </c>
      <c r="H15" s="51">
        <f t="shared" si="6"/>
        <v>0.82617177001226993</v>
      </c>
      <c r="I15" s="51">
        <f t="shared" si="6"/>
        <v>0.69303738510898172</v>
      </c>
      <c r="J15" s="51">
        <f t="shared" si="6"/>
        <v>2.0959148133610035</v>
      </c>
      <c r="K15" s="51">
        <f t="shared" si="6"/>
        <v>2.6771745074378908</v>
      </c>
      <c r="L15" s="51">
        <f t="shared" si="6"/>
        <v>0.45746926600645127</v>
      </c>
      <c r="M15" s="52"/>
    </row>
    <row r="16" spans="1:13" ht="14" x14ac:dyDescent="0.15">
      <c r="B16" s="50" t="s">
        <v>57</v>
      </c>
      <c r="C16" s="53">
        <f t="shared" ref="C16:L16" si="7">C15/C14*100</f>
        <v>3.660449292216208</v>
      </c>
      <c r="D16" s="53">
        <f t="shared" si="7"/>
        <v>1.4304829595155895</v>
      </c>
      <c r="E16" s="53">
        <f t="shared" si="7"/>
        <v>2.3729606018126641</v>
      </c>
      <c r="F16" s="53">
        <f t="shared" si="7"/>
        <v>4.6690964372055808</v>
      </c>
      <c r="G16" s="53">
        <f t="shared" si="7"/>
        <v>2.4265640254368401</v>
      </c>
      <c r="H16" s="53">
        <f t="shared" si="7"/>
        <v>1.1892987706002203</v>
      </c>
      <c r="I16" s="53">
        <f t="shared" si="7"/>
        <v>0.96009973092664891</v>
      </c>
      <c r="J16" s="53">
        <f t="shared" si="7"/>
        <v>2.9581990654946857</v>
      </c>
      <c r="K16" s="53">
        <f t="shared" si="7"/>
        <v>6.9843022065825044</v>
      </c>
      <c r="L16" s="59">
        <f t="shared" si="7"/>
        <v>36.757807675258945</v>
      </c>
      <c r="M16" s="60">
        <f>AVERAGE(C16:K16)</f>
        <v>2.9612725655323273</v>
      </c>
    </row>
    <row r="18" spans="12:13" x14ac:dyDescent="0.15">
      <c r="L18" s="61" t="s">
        <v>59</v>
      </c>
      <c r="M18" s="61"/>
    </row>
    <row r="19" spans="12:13" x14ac:dyDescent="0.15">
      <c r="L19" s="61"/>
      <c r="M19" s="61"/>
    </row>
    <row r="20" spans="12:13" x14ac:dyDescent="0.15">
      <c r="L20" s="61"/>
      <c r="M20" s="61"/>
    </row>
  </sheetData>
  <mergeCells count="5">
    <mergeCell ref="C2:K2"/>
    <mergeCell ref="M7:M8"/>
    <mergeCell ref="B11:B13"/>
    <mergeCell ref="M14:M15"/>
    <mergeCell ref="L18:M20"/>
  </mergeCells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0CCF-28F2-D449-9AF3-6D41E6E2320C}">
  <dimension ref="A1:M31"/>
  <sheetViews>
    <sheetView tabSelected="1" workbookViewId="0">
      <selection activeCell="N12" sqref="N12"/>
    </sheetView>
  </sheetViews>
  <sheetFormatPr baseColWidth="10" defaultRowHeight="13" x14ac:dyDescent="0.15"/>
  <cols>
    <col min="1" max="13" width="9.5" customWidth="1"/>
  </cols>
  <sheetData>
    <row r="1" spans="1:13" x14ac:dyDescent="0.15">
      <c r="C1" s="39" t="s">
        <v>51</v>
      </c>
      <c r="D1" s="39"/>
      <c r="E1" s="39"/>
      <c r="F1" s="39"/>
      <c r="G1" s="39"/>
      <c r="H1" s="39"/>
      <c r="I1" s="39"/>
      <c r="J1" s="39"/>
      <c r="K1" s="39"/>
    </row>
    <row r="2" spans="1:13" x14ac:dyDescent="0.15">
      <c r="C2" s="62"/>
      <c r="D2" s="62"/>
      <c r="E2" s="62"/>
      <c r="F2" s="62"/>
      <c r="G2" s="62"/>
      <c r="H2" s="62"/>
      <c r="I2" s="62"/>
      <c r="J2" s="62"/>
      <c r="K2" s="62"/>
    </row>
    <row r="3" spans="1:13" ht="14" x14ac:dyDescent="0.15">
      <c r="A3" s="5"/>
      <c r="B3" s="63" t="s">
        <v>52</v>
      </c>
      <c r="C3" s="40">
        <v>0</v>
      </c>
      <c r="D3" s="41">
        <f t="shared" ref="D3:J3" si="0">E3/2</f>
        <v>3.90625</v>
      </c>
      <c r="E3" s="41">
        <f t="shared" si="0"/>
        <v>7.8125</v>
      </c>
      <c r="F3" s="41">
        <f t="shared" si="0"/>
        <v>15.625</v>
      </c>
      <c r="G3" s="40">
        <f t="shared" si="0"/>
        <v>31.25</v>
      </c>
      <c r="H3" s="40">
        <f t="shared" si="0"/>
        <v>62.5</v>
      </c>
      <c r="I3" s="40">
        <f t="shared" si="0"/>
        <v>125</v>
      </c>
      <c r="J3" s="40">
        <f t="shared" si="0"/>
        <v>250</v>
      </c>
      <c r="K3" s="40">
        <v>500</v>
      </c>
      <c r="L3" s="64" t="s">
        <v>53</v>
      </c>
    </row>
    <row r="4" spans="1:13" ht="14" x14ac:dyDescent="0.15">
      <c r="A4" s="6" t="s">
        <v>44</v>
      </c>
      <c r="B4" s="65">
        <v>0.53500000000000003</v>
      </c>
      <c r="C4" s="45">
        <v>0.76600000000000001</v>
      </c>
      <c r="D4" s="45">
        <v>0.78</v>
      </c>
      <c r="E4" s="44">
        <v>0.81899999999999995</v>
      </c>
      <c r="F4" s="45">
        <v>0.8</v>
      </c>
      <c r="G4" s="44">
        <v>0.82</v>
      </c>
      <c r="H4" s="45">
        <v>0.78600000000000003</v>
      </c>
      <c r="I4" s="45">
        <v>0.77200000000000002</v>
      </c>
      <c r="J4" s="45">
        <v>0.78300000000000003</v>
      </c>
      <c r="K4" s="47">
        <v>0.7</v>
      </c>
      <c r="L4" s="65">
        <v>0.54800000000000004</v>
      </c>
      <c r="M4" s="13" t="s">
        <v>39</v>
      </c>
    </row>
    <row r="5" spans="1:13" ht="14" x14ac:dyDescent="0.15">
      <c r="A5" s="6" t="s">
        <v>45</v>
      </c>
      <c r="B5" s="48">
        <v>0.60499999999999998</v>
      </c>
      <c r="C5" s="45">
        <v>0.81399999999999995</v>
      </c>
      <c r="D5" s="45">
        <v>0.80800000000000005</v>
      </c>
      <c r="E5" s="44">
        <v>0.81899999999999995</v>
      </c>
      <c r="F5" s="45">
        <v>0.76600000000000001</v>
      </c>
      <c r="G5" s="45">
        <v>0.81</v>
      </c>
      <c r="H5" s="45">
        <v>0.81200000000000006</v>
      </c>
      <c r="I5" s="45">
        <v>0.80300000000000005</v>
      </c>
      <c r="J5" s="46">
        <v>0.755</v>
      </c>
      <c r="K5" s="47">
        <v>0.7</v>
      </c>
      <c r="L5" s="66">
        <v>0.59699999999999998</v>
      </c>
      <c r="M5" s="13" t="s">
        <v>39</v>
      </c>
    </row>
    <row r="6" spans="1:13" ht="14" x14ac:dyDescent="0.15">
      <c r="A6" s="6" t="s">
        <v>46</v>
      </c>
      <c r="B6" s="65">
        <v>0.52400000000000002</v>
      </c>
      <c r="C6" s="45">
        <v>0.80300000000000005</v>
      </c>
      <c r="D6" s="45">
        <v>0.79400000000000004</v>
      </c>
      <c r="E6" s="45">
        <v>0.80400000000000005</v>
      </c>
      <c r="F6" s="45">
        <v>0.79</v>
      </c>
      <c r="G6" s="44">
        <v>0.81899999999999995</v>
      </c>
      <c r="H6" s="45">
        <v>0.79700000000000004</v>
      </c>
      <c r="I6" s="45">
        <v>0.81100000000000005</v>
      </c>
      <c r="J6" s="45">
        <v>0.81</v>
      </c>
      <c r="K6" s="46">
        <v>0.71099999999999997</v>
      </c>
      <c r="L6" s="66">
        <v>0.59099999999999997</v>
      </c>
      <c r="M6" s="13" t="s">
        <v>39</v>
      </c>
    </row>
    <row r="8" spans="1:13" ht="14" x14ac:dyDescent="0.15">
      <c r="A8" s="5"/>
      <c r="B8" s="63" t="s">
        <v>52</v>
      </c>
      <c r="C8" s="40">
        <v>0</v>
      </c>
      <c r="D8" s="41">
        <f t="shared" ref="D8:J8" si="1">E8/2</f>
        <v>3.90625</v>
      </c>
      <c r="E8" s="41">
        <f t="shared" si="1"/>
        <v>7.8125</v>
      </c>
      <c r="F8" s="41">
        <f t="shared" si="1"/>
        <v>15.625</v>
      </c>
      <c r="G8" s="40">
        <f t="shared" si="1"/>
        <v>31.25</v>
      </c>
      <c r="H8" s="40">
        <f t="shared" si="1"/>
        <v>62.5</v>
      </c>
      <c r="I8" s="40">
        <f t="shared" si="1"/>
        <v>125</v>
      </c>
      <c r="J8" s="40">
        <f t="shared" si="1"/>
        <v>250</v>
      </c>
      <c r="K8" s="40">
        <v>500</v>
      </c>
      <c r="L8" s="64" t="s">
        <v>53</v>
      </c>
    </row>
    <row r="9" spans="1:13" ht="14" x14ac:dyDescent="0.15">
      <c r="A9" s="6" t="s">
        <v>44</v>
      </c>
      <c r="B9" s="48">
        <v>0.67300000000000004</v>
      </c>
      <c r="C9" s="67">
        <v>0.51</v>
      </c>
      <c r="D9" s="65">
        <v>0.55200000000000005</v>
      </c>
      <c r="E9" s="66">
        <v>0.60799999999999998</v>
      </c>
      <c r="F9" s="66">
        <v>0.58599999999999997</v>
      </c>
      <c r="G9" s="66">
        <v>0.622</v>
      </c>
      <c r="H9" s="48">
        <v>0.628</v>
      </c>
      <c r="I9" s="66">
        <v>0.59</v>
      </c>
      <c r="J9" s="66">
        <v>0.60199999999999998</v>
      </c>
      <c r="K9" s="48">
        <v>0.67500000000000004</v>
      </c>
      <c r="L9" s="47">
        <v>0.70099999999999996</v>
      </c>
      <c r="M9" s="13" t="s">
        <v>40</v>
      </c>
    </row>
    <row r="10" spans="1:13" ht="14" x14ac:dyDescent="0.15">
      <c r="A10" s="6" t="s">
        <v>45</v>
      </c>
      <c r="B10" s="46">
        <v>0.746</v>
      </c>
      <c r="C10" s="65">
        <v>0.51900000000000002</v>
      </c>
      <c r="D10" s="65">
        <v>0.56000000000000005</v>
      </c>
      <c r="E10" s="66">
        <v>0.59</v>
      </c>
      <c r="F10" s="66">
        <v>0.59299999999999997</v>
      </c>
      <c r="G10" s="66">
        <v>0.61899999999999999</v>
      </c>
      <c r="H10" s="48">
        <v>0.64400000000000002</v>
      </c>
      <c r="I10" s="66">
        <v>0.622</v>
      </c>
      <c r="J10" s="66">
        <v>0.60499999999999998</v>
      </c>
      <c r="K10" s="47">
        <v>0.69199999999999995</v>
      </c>
      <c r="L10" s="46">
        <v>0.75800000000000001</v>
      </c>
      <c r="M10" s="13" t="s">
        <v>40</v>
      </c>
    </row>
    <row r="11" spans="1:13" ht="14" x14ac:dyDescent="0.15">
      <c r="A11" s="6" t="s">
        <v>46</v>
      </c>
      <c r="B11" s="48">
        <v>0.66</v>
      </c>
      <c r="C11" s="65">
        <v>0.51800000000000002</v>
      </c>
      <c r="D11" s="65">
        <v>0.56100000000000005</v>
      </c>
      <c r="E11" s="66">
        <v>0.58899999999999997</v>
      </c>
      <c r="F11" s="66">
        <v>0.59899999999999998</v>
      </c>
      <c r="G11" s="66">
        <v>0.60399999999999998</v>
      </c>
      <c r="H11" s="48">
        <v>0.627</v>
      </c>
      <c r="I11" s="66">
        <v>0.624</v>
      </c>
      <c r="J11" s="48">
        <v>0.627</v>
      </c>
      <c r="K11" s="47">
        <v>0.70199999999999996</v>
      </c>
      <c r="L11" s="46">
        <v>0.751</v>
      </c>
      <c r="M11" s="13" t="s">
        <v>40</v>
      </c>
    </row>
    <row r="13" spans="1:13" ht="14" x14ac:dyDescent="0.15">
      <c r="A13" s="68" t="s">
        <v>60</v>
      </c>
      <c r="B13" s="63" t="s">
        <v>52</v>
      </c>
      <c r="C13" s="40">
        <v>0</v>
      </c>
      <c r="D13" s="41">
        <f t="shared" ref="D13:J13" si="2">E13/2</f>
        <v>3.90625</v>
      </c>
      <c r="E13" s="41">
        <f t="shared" si="2"/>
        <v>7.8125</v>
      </c>
      <c r="F13" s="41">
        <f t="shared" si="2"/>
        <v>15.625</v>
      </c>
      <c r="G13" s="40">
        <f t="shared" si="2"/>
        <v>31.25</v>
      </c>
      <c r="H13" s="40">
        <f t="shared" si="2"/>
        <v>62.5</v>
      </c>
      <c r="I13" s="40">
        <f t="shared" si="2"/>
        <v>125</v>
      </c>
      <c r="J13" s="40">
        <f t="shared" si="2"/>
        <v>250</v>
      </c>
      <c r="K13" s="40">
        <v>500</v>
      </c>
      <c r="L13" s="64" t="s">
        <v>53</v>
      </c>
    </row>
    <row r="14" spans="1:13" ht="14" x14ac:dyDescent="0.15">
      <c r="A14" s="6" t="s">
        <v>44</v>
      </c>
      <c r="B14" s="69">
        <f t="shared" ref="B14:L16" si="3">B4-B9</f>
        <v>-0.13800000000000001</v>
      </c>
      <c r="C14" s="69">
        <f t="shared" si="3"/>
        <v>0.25600000000000001</v>
      </c>
      <c r="D14" s="69">
        <f t="shared" si="3"/>
        <v>0.22799999999999998</v>
      </c>
      <c r="E14" s="69">
        <f t="shared" si="3"/>
        <v>0.21099999999999997</v>
      </c>
      <c r="F14" s="69">
        <f t="shared" si="3"/>
        <v>0.21400000000000008</v>
      </c>
      <c r="G14" s="69">
        <f t="shared" si="3"/>
        <v>0.19799999999999995</v>
      </c>
      <c r="H14" s="69">
        <f t="shared" si="3"/>
        <v>0.15800000000000003</v>
      </c>
      <c r="I14" s="69">
        <f t="shared" si="3"/>
        <v>0.18200000000000005</v>
      </c>
      <c r="J14" s="69">
        <f t="shared" si="3"/>
        <v>0.18100000000000005</v>
      </c>
      <c r="K14" s="69">
        <f t="shared" si="3"/>
        <v>2.4999999999999911E-2</v>
      </c>
      <c r="L14" s="69">
        <f t="shared" si="3"/>
        <v>-0.15299999999999991</v>
      </c>
    </row>
    <row r="15" spans="1:13" ht="14" x14ac:dyDescent="0.15">
      <c r="A15" s="6" t="s">
        <v>45</v>
      </c>
      <c r="B15" s="69">
        <f t="shared" si="3"/>
        <v>-0.14100000000000001</v>
      </c>
      <c r="C15" s="69">
        <f t="shared" si="3"/>
        <v>0.29499999999999993</v>
      </c>
      <c r="D15" s="69">
        <f t="shared" si="3"/>
        <v>0.248</v>
      </c>
      <c r="E15" s="69">
        <f t="shared" si="3"/>
        <v>0.22899999999999998</v>
      </c>
      <c r="F15" s="69">
        <f t="shared" si="3"/>
        <v>0.17300000000000004</v>
      </c>
      <c r="G15" s="69">
        <f t="shared" si="3"/>
        <v>0.19100000000000006</v>
      </c>
      <c r="H15" s="69">
        <f t="shared" si="3"/>
        <v>0.16800000000000004</v>
      </c>
      <c r="I15" s="69">
        <f t="shared" si="3"/>
        <v>0.18100000000000005</v>
      </c>
      <c r="J15" s="69">
        <f t="shared" si="3"/>
        <v>0.15000000000000002</v>
      </c>
      <c r="K15" s="69">
        <f t="shared" si="3"/>
        <v>8.0000000000000071E-3</v>
      </c>
      <c r="L15" s="69">
        <f t="shared" si="3"/>
        <v>-0.16100000000000003</v>
      </c>
    </row>
    <row r="16" spans="1:13" ht="14" x14ac:dyDescent="0.15">
      <c r="A16" s="6" t="s">
        <v>46</v>
      </c>
      <c r="B16" s="69">
        <f t="shared" si="3"/>
        <v>-0.13600000000000001</v>
      </c>
      <c r="C16" s="69">
        <f t="shared" si="3"/>
        <v>0.28500000000000003</v>
      </c>
      <c r="D16" s="69">
        <f t="shared" si="3"/>
        <v>0.23299999999999998</v>
      </c>
      <c r="E16" s="69">
        <f t="shared" si="3"/>
        <v>0.21500000000000008</v>
      </c>
      <c r="F16" s="69">
        <f t="shared" si="3"/>
        <v>0.19100000000000006</v>
      </c>
      <c r="G16" s="69">
        <f t="shared" si="3"/>
        <v>0.21499999999999997</v>
      </c>
      <c r="H16" s="69">
        <f t="shared" si="3"/>
        <v>0.17000000000000004</v>
      </c>
      <c r="I16" s="69">
        <f t="shared" si="3"/>
        <v>0.18700000000000006</v>
      </c>
      <c r="J16" s="69">
        <f t="shared" si="3"/>
        <v>0.18300000000000005</v>
      </c>
      <c r="K16" s="69">
        <f t="shared" si="3"/>
        <v>9.000000000000008E-3</v>
      </c>
      <c r="L16" s="69">
        <f t="shared" si="3"/>
        <v>-0.16000000000000003</v>
      </c>
      <c r="M16" s="56"/>
    </row>
    <row r="17" spans="1:13" ht="14" x14ac:dyDescent="0.15">
      <c r="A17" s="50" t="s">
        <v>54</v>
      </c>
      <c r="B17" s="70">
        <f>AVERAGE(B14:B16)</f>
        <v>-0.13833333333333334</v>
      </c>
      <c r="C17" s="70">
        <f t="shared" ref="C17:L17" si="4">AVERAGE(C14:C16)</f>
        <v>0.27866666666666667</v>
      </c>
      <c r="D17" s="70">
        <f t="shared" si="4"/>
        <v>0.23633333333333331</v>
      </c>
      <c r="E17" s="70">
        <f t="shared" si="4"/>
        <v>0.21833333333333335</v>
      </c>
      <c r="F17" s="70">
        <f t="shared" si="4"/>
        <v>0.19266666666666674</v>
      </c>
      <c r="G17" s="70">
        <f t="shared" si="4"/>
        <v>0.20133333333333334</v>
      </c>
      <c r="H17" s="70">
        <f t="shared" si="4"/>
        <v>0.16533333333333336</v>
      </c>
      <c r="I17" s="70">
        <f t="shared" si="4"/>
        <v>0.18333333333333338</v>
      </c>
      <c r="J17" s="70">
        <f t="shared" si="4"/>
        <v>0.17133333333333337</v>
      </c>
      <c r="K17" s="70">
        <f>AVERAGE(K14:K16)</f>
        <v>1.3999999999999976E-2</v>
      </c>
      <c r="L17" s="70">
        <f t="shared" si="4"/>
        <v>-0.158</v>
      </c>
      <c r="M17" s="71" t="s">
        <v>55</v>
      </c>
    </row>
    <row r="18" spans="1:13" ht="14" x14ac:dyDescent="0.15">
      <c r="A18" s="50" t="s">
        <v>56</v>
      </c>
      <c r="B18" s="70">
        <f>STDEV(B14:B16)</f>
        <v>2.5166114784235852E-3</v>
      </c>
      <c r="C18" s="70">
        <f t="shared" ref="C18:L18" si="5">STDEV(C14:C16)</f>
        <v>2.0256686138984636E-2</v>
      </c>
      <c r="D18" s="70">
        <f t="shared" si="5"/>
        <v>1.0408329997330674E-2</v>
      </c>
      <c r="E18" s="70">
        <f t="shared" si="5"/>
        <v>9.4516312525052062E-3</v>
      </c>
      <c r="F18" s="70">
        <f t="shared" si="5"/>
        <v>2.0550750189064489E-2</v>
      </c>
      <c r="G18" s="70">
        <f t="shared" si="5"/>
        <v>1.2342339054382376E-2</v>
      </c>
      <c r="H18" s="70">
        <f t="shared" si="5"/>
        <v>6.4291005073286427E-3</v>
      </c>
      <c r="I18" s="70">
        <f t="shared" si="5"/>
        <v>3.2145502536643214E-3</v>
      </c>
      <c r="J18" s="70">
        <f t="shared" si="5"/>
        <v>1.8502252115170575E-2</v>
      </c>
      <c r="K18" s="70">
        <f>STDEV(K14:K16)</f>
        <v>9.5393920141694025E-3</v>
      </c>
      <c r="L18" s="70">
        <f t="shared" si="5"/>
        <v>4.3588989435407411E-3</v>
      </c>
      <c r="M18" s="71"/>
    </row>
    <row r="19" spans="1:13" ht="14" x14ac:dyDescent="0.15">
      <c r="A19" s="50" t="s">
        <v>57</v>
      </c>
      <c r="B19" s="51">
        <f t="shared" ref="B19:J19" si="6">B18/B17*100</f>
        <v>-1.8192372133182544</v>
      </c>
      <c r="C19" s="72">
        <f t="shared" si="6"/>
        <v>7.2691457436547733</v>
      </c>
      <c r="D19" s="72">
        <f t="shared" si="6"/>
        <v>4.4040888564163643</v>
      </c>
      <c r="E19" s="72">
        <f t="shared" si="6"/>
        <v>4.3289914133611624</v>
      </c>
      <c r="F19" s="72">
        <f t="shared" si="6"/>
        <v>10.666479336884679</v>
      </c>
      <c r="G19" s="72">
        <f t="shared" si="6"/>
        <v>6.1303008548256832</v>
      </c>
      <c r="H19" s="72">
        <f t="shared" si="6"/>
        <v>3.8885688552390976</v>
      </c>
      <c r="I19" s="72">
        <f t="shared" si="6"/>
        <v>1.7533910474532659</v>
      </c>
      <c r="J19" s="72">
        <f t="shared" si="6"/>
        <v>10.798979833757143</v>
      </c>
      <c r="K19" s="72">
        <f>K18/K17*100</f>
        <v>68.138514386924413</v>
      </c>
      <c r="L19" s="51">
        <f t="shared" ref="L19" si="7">L18/L17*100</f>
        <v>-2.7587967997093297</v>
      </c>
      <c r="M19" s="73">
        <f>AVERAGE(C19:K19)</f>
        <v>13.042051147612954</v>
      </c>
    </row>
    <row r="21" spans="1:13" x14ac:dyDescent="0.15">
      <c r="B21" s="55" t="s">
        <v>58</v>
      </c>
      <c r="C21" s="51">
        <f t="shared" ref="C21:L23" si="8">(C14-$B$17)/($C$17-$B$17)*100</f>
        <v>94.564348521183035</v>
      </c>
      <c r="D21" s="51">
        <f t="shared" si="8"/>
        <v>87.849720223820924</v>
      </c>
      <c r="E21" s="51">
        <f t="shared" si="8"/>
        <v>83.772981614708215</v>
      </c>
      <c r="F21" s="51">
        <f t="shared" si="8"/>
        <v>84.492406075139897</v>
      </c>
      <c r="G21" s="51">
        <f t="shared" si="8"/>
        <v>80.655475619504372</v>
      </c>
      <c r="H21" s="51">
        <f t="shared" si="8"/>
        <v>71.06314948041566</v>
      </c>
      <c r="I21" s="51">
        <f t="shared" si="8"/>
        <v>76.818545163868905</v>
      </c>
      <c r="J21" s="51">
        <f t="shared" si="8"/>
        <v>76.578737010391677</v>
      </c>
      <c r="K21" s="51">
        <f t="shared" si="8"/>
        <v>39.168665067945618</v>
      </c>
      <c r="L21" s="51">
        <f t="shared" si="8"/>
        <v>-3.5171862509991789</v>
      </c>
    </row>
    <row r="22" spans="1:13" x14ac:dyDescent="0.15">
      <c r="B22" s="55"/>
      <c r="C22" s="51">
        <f t="shared" si="8"/>
        <v>103.91686650679452</v>
      </c>
      <c r="D22" s="51">
        <f t="shared" si="8"/>
        <v>92.645883293365301</v>
      </c>
      <c r="E22" s="51">
        <f t="shared" si="8"/>
        <v>88.089528377298137</v>
      </c>
      <c r="F22" s="51">
        <f t="shared" si="8"/>
        <v>74.660271782573943</v>
      </c>
      <c r="G22" s="51">
        <f t="shared" si="8"/>
        <v>78.97681854516388</v>
      </c>
      <c r="H22" s="51">
        <f t="shared" si="8"/>
        <v>73.461231015187849</v>
      </c>
      <c r="I22" s="51">
        <f t="shared" si="8"/>
        <v>76.578737010391677</v>
      </c>
      <c r="J22" s="51">
        <f t="shared" si="8"/>
        <v>69.144684252597912</v>
      </c>
      <c r="K22" s="51">
        <f t="shared" si="8"/>
        <v>35.091926458832937</v>
      </c>
      <c r="L22" s="51">
        <f t="shared" si="8"/>
        <v>-5.4356514788169532</v>
      </c>
    </row>
    <row r="23" spans="1:13" x14ac:dyDescent="0.15">
      <c r="B23" s="55"/>
      <c r="C23" s="51">
        <f t="shared" si="8"/>
        <v>101.51878497202237</v>
      </c>
      <c r="D23" s="51">
        <f t="shared" si="8"/>
        <v>89.048760991207018</v>
      </c>
      <c r="E23" s="51">
        <f t="shared" si="8"/>
        <v>84.73221422861711</v>
      </c>
      <c r="F23" s="51">
        <f t="shared" si="8"/>
        <v>78.97681854516388</v>
      </c>
      <c r="G23" s="51">
        <f t="shared" si="8"/>
        <v>84.732214228617082</v>
      </c>
      <c r="H23" s="51">
        <f t="shared" si="8"/>
        <v>73.940847322142275</v>
      </c>
      <c r="I23" s="51">
        <f t="shared" si="8"/>
        <v>78.017585931254999</v>
      </c>
      <c r="J23" s="51">
        <f t="shared" si="8"/>
        <v>77.058353317346118</v>
      </c>
      <c r="K23" s="51">
        <f t="shared" si="8"/>
        <v>35.33173461231015</v>
      </c>
      <c r="L23" s="51">
        <f t="shared" si="8"/>
        <v>-5.1958433253397347</v>
      </c>
      <c r="M23" s="74"/>
    </row>
    <row r="24" spans="1:13" ht="14" x14ac:dyDescent="0.15">
      <c r="B24" s="75" t="s">
        <v>54</v>
      </c>
      <c r="C24" s="76">
        <f t="shared" ref="C24:L24" si="9">AVERAGE(C21:C23)</f>
        <v>99.999999999999986</v>
      </c>
      <c r="D24" s="76">
        <f t="shared" si="9"/>
        <v>89.848121502797753</v>
      </c>
      <c r="E24" s="76">
        <f t="shared" si="9"/>
        <v>85.531574740207816</v>
      </c>
      <c r="F24" s="76">
        <f t="shared" si="9"/>
        <v>79.376498800959254</v>
      </c>
      <c r="G24" s="76">
        <f t="shared" si="9"/>
        <v>81.454836131095121</v>
      </c>
      <c r="H24" s="76">
        <f t="shared" si="9"/>
        <v>72.821742605915261</v>
      </c>
      <c r="I24" s="76">
        <f t="shared" si="9"/>
        <v>77.138289368505184</v>
      </c>
      <c r="J24" s="76">
        <f t="shared" si="9"/>
        <v>74.260591526778569</v>
      </c>
      <c r="K24" s="76">
        <f t="shared" si="9"/>
        <v>36.53077537969623</v>
      </c>
      <c r="L24" s="76">
        <f t="shared" si="9"/>
        <v>-4.7162270183852888</v>
      </c>
      <c r="M24" s="71" t="s">
        <v>55</v>
      </c>
    </row>
    <row r="25" spans="1:13" ht="14" x14ac:dyDescent="0.15">
      <c r="B25" s="50" t="s">
        <v>56</v>
      </c>
      <c r="C25" s="51">
        <f t="shared" ref="C25:L25" si="10">STDEV(C21:C23)</f>
        <v>4.857718498557464</v>
      </c>
      <c r="D25" s="51">
        <f t="shared" si="10"/>
        <v>2.4960023974414129</v>
      </c>
      <c r="E25" s="51">
        <f t="shared" si="10"/>
        <v>2.2665782380108364</v>
      </c>
      <c r="F25" s="51">
        <f t="shared" si="10"/>
        <v>4.9282374554111463</v>
      </c>
      <c r="G25" s="51">
        <f t="shared" si="10"/>
        <v>2.9597935382211871</v>
      </c>
      <c r="H25" s="51">
        <f t="shared" si="10"/>
        <v>1.5417507211819272</v>
      </c>
      <c r="I25" s="51">
        <f t="shared" si="10"/>
        <v>0.77087536059096873</v>
      </c>
      <c r="J25" s="51">
        <f t="shared" si="10"/>
        <v>4.4369909149090079</v>
      </c>
      <c r="K25" s="51">
        <f t="shared" si="10"/>
        <v>2.2876239842132837</v>
      </c>
      <c r="L25" s="51">
        <f t="shared" si="10"/>
        <v>1.0452995068443067</v>
      </c>
      <c r="M25" s="71"/>
    </row>
    <row r="26" spans="1:13" ht="14" x14ac:dyDescent="0.15">
      <c r="B26" s="50" t="s">
        <v>57</v>
      </c>
      <c r="C26" s="72">
        <f t="shared" ref="C26:K26" si="11">C25/C24*100</f>
        <v>4.8577184985574648</v>
      </c>
      <c r="D26" s="72">
        <f t="shared" si="11"/>
        <v>2.7780240206398648</v>
      </c>
      <c r="E26" s="72">
        <f t="shared" si="11"/>
        <v>2.6499900707958477</v>
      </c>
      <c r="F26" s="72">
        <f t="shared" si="11"/>
        <v>6.2086858577234061</v>
      </c>
      <c r="G26" s="72">
        <f t="shared" si="11"/>
        <v>3.6336621357357259</v>
      </c>
      <c r="H26" s="72">
        <f t="shared" si="11"/>
        <v>2.1171571374298472</v>
      </c>
      <c r="I26" s="72">
        <f t="shared" si="11"/>
        <v>0.99934204777129743</v>
      </c>
      <c r="J26" s="72">
        <f t="shared" si="11"/>
        <v>5.9748930404210654</v>
      </c>
      <c r="K26" s="72">
        <f t="shared" si="11"/>
        <v>6.2621829414678754</v>
      </c>
      <c r="L26" s="59">
        <f>L25/L24*100</f>
        <v>-22.163892933258111</v>
      </c>
      <c r="M26" s="77">
        <f>AVERAGE(C26:K26)</f>
        <v>3.9424061945047106</v>
      </c>
    </row>
    <row r="28" spans="1:13" x14ac:dyDescent="0.15">
      <c r="L28" s="78" t="s">
        <v>59</v>
      </c>
      <c r="M28" s="78"/>
    </row>
    <row r="29" spans="1:13" x14ac:dyDescent="0.15">
      <c r="L29" s="78"/>
      <c r="M29" s="78"/>
    </row>
    <row r="30" spans="1:13" x14ac:dyDescent="0.15">
      <c r="L30" s="78"/>
      <c r="M30" s="78"/>
    </row>
    <row r="31" spans="1:13" x14ac:dyDescent="0.15">
      <c r="B31" s="79"/>
    </row>
  </sheetData>
  <mergeCells count="5">
    <mergeCell ref="C1:K1"/>
    <mergeCell ref="M17:M18"/>
    <mergeCell ref="B21:B23"/>
    <mergeCell ref="M24:M25"/>
    <mergeCell ref="L28:M30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Sheet1</vt:lpstr>
      <vt:lpstr>FLUO</vt:lpstr>
      <vt:lpstr>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Vânia Vilas-Boas</cp:lastModifiedBy>
  <cp:lastPrinted>2024-05-02T12:47:06Z</cp:lastPrinted>
  <dcterms:created xsi:type="dcterms:W3CDTF">2011-01-18T20:51:17Z</dcterms:created>
  <dcterms:modified xsi:type="dcterms:W3CDTF">2024-05-02T12:47:15Z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